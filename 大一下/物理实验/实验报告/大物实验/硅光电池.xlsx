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仰望星空\Desktop\"/>
    </mc:Choice>
  </mc:AlternateContent>
  <xr:revisionPtr revIDLastSave="0" documentId="13_ncr:1_{81515CD3-B8A7-468C-B8EB-42B2A7667988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" i="1" l="1"/>
  <c r="K40" i="1"/>
  <c r="J40" i="1"/>
  <c r="I40" i="1"/>
  <c r="H40" i="1"/>
  <c r="G40" i="1"/>
  <c r="F40" i="1"/>
  <c r="E40" i="1"/>
  <c r="D40" i="1"/>
  <c r="C40" i="1"/>
  <c r="L39" i="1"/>
  <c r="K39" i="1"/>
  <c r="J39" i="1"/>
  <c r="I39" i="1"/>
  <c r="H39" i="1"/>
  <c r="G39" i="1"/>
  <c r="F39" i="1"/>
  <c r="E39" i="1"/>
  <c r="D39" i="1"/>
  <c r="C39" i="1"/>
  <c r="L33" i="1"/>
  <c r="K33" i="1"/>
  <c r="J33" i="1"/>
  <c r="I33" i="1"/>
  <c r="H33" i="1"/>
  <c r="G33" i="1"/>
  <c r="F33" i="1"/>
  <c r="E33" i="1"/>
  <c r="D33" i="1"/>
  <c r="C33" i="1"/>
  <c r="L32" i="1"/>
  <c r="K32" i="1"/>
  <c r="J32" i="1"/>
  <c r="I32" i="1"/>
  <c r="H32" i="1"/>
  <c r="G32" i="1"/>
  <c r="F32" i="1"/>
  <c r="E32" i="1"/>
  <c r="D32" i="1"/>
  <c r="C32" i="1"/>
  <c r="Q5" i="1"/>
  <c r="D12" i="1"/>
  <c r="D6" i="1"/>
  <c r="D24" i="1"/>
  <c r="D18" i="1"/>
  <c r="H17" i="1"/>
  <c r="E18" i="1" s="1"/>
  <c r="B24" i="1"/>
  <c r="B18" i="1"/>
  <c r="B12" i="1"/>
  <c r="B6" i="1"/>
  <c r="B23" i="1"/>
  <c r="C23" i="1"/>
  <c r="D23" i="1"/>
  <c r="E23" i="1"/>
  <c r="F23" i="1"/>
  <c r="G23" i="1"/>
  <c r="H23" i="1"/>
  <c r="I23" i="1"/>
  <c r="J23" i="1"/>
  <c r="K23" i="1"/>
  <c r="L23" i="1"/>
  <c r="E24" i="1" s="1"/>
  <c r="M23" i="1"/>
  <c r="N23" i="1"/>
  <c r="O23" i="1"/>
  <c r="P23" i="1"/>
  <c r="Q23" i="1"/>
  <c r="R23" i="1"/>
  <c r="S23" i="1"/>
  <c r="T23" i="1"/>
  <c r="A23" i="1"/>
  <c r="B22" i="1"/>
  <c r="C22" i="1"/>
  <c r="D22" i="1"/>
  <c r="E22" i="1"/>
  <c r="F22" i="1"/>
  <c r="G22" i="1"/>
  <c r="H22" i="1"/>
  <c r="I22" i="1"/>
  <c r="J22" i="1"/>
  <c r="K22" i="1"/>
  <c r="L22" i="1"/>
  <c r="C24" i="1" s="1"/>
  <c r="M22" i="1"/>
  <c r="N22" i="1"/>
  <c r="O22" i="1"/>
  <c r="P22" i="1"/>
  <c r="Q22" i="1"/>
  <c r="R22" i="1"/>
  <c r="S22" i="1"/>
  <c r="T22" i="1"/>
  <c r="A22" i="1"/>
  <c r="B17" i="1"/>
  <c r="C17" i="1"/>
  <c r="D17" i="1"/>
  <c r="E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A17" i="1"/>
  <c r="B16" i="1"/>
  <c r="C16" i="1"/>
  <c r="D16" i="1"/>
  <c r="E16" i="1"/>
  <c r="F16" i="1"/>
  <c r="G16" i="1"/>
  <c r="H16" i="1"/>
  <c r="C18" i="1" s="1"/>
  <c r="I16" i="1"/>
  <c r="J16" i="1"/>
  <c r="K16" i="1"/>
  <c r="L16" i="1"/>
  <c r="M16" i="1"/>
  <c r="N16" i="1"/>
  <c r="O16" i="1"/>
  <c r="P16" i="1"/>
  <c r="Q16" i="1"/>
  <c r="R16" i="1"/>
  <c r="S16" i="1"/>
  <c r="T16" i="1"/>
  <c r="A16" i="1"/>
  <c r="B11" i="1"/>
  <c r="C11" i="1"/>
  <c r="D11" i="1"/>
  <c r="E11" i="1"/>
  <c r="F11" i="1"/>
  <c r="E12" i="1" s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A11" i="1"/>
  <c r="B10" i="1"/>
  <c r="C10" i="1"/>
  <c r="D10" i="1"/>
  <c r="E10" i="1"/>
  <c r="F10" i="1"/>
  <c r="C12" i="1" s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A10" i="1"/>
  <c r="B5" i="1"/>
  <c r="C5" i="1"/>
  <c r="D5" i="1"/>
  <c r="E5" i="1"/>
  <c r="E6" i="1" s="1"/>
  <c r="F5" i="1"/>
  <c r="G5" i="1"/>
  <c r="H5" i="1"/>
  <c r="I5" i="1"/>
  <c r="J5" i="1"/>
  <c r="K5" i="1"/>
  <c r="L5" i="1"/>
  <c r="M5" i="1"/>
  <c r="N5" i="1"/>
  <c r="O5" i="1"/>
  <c r="P5" i="1"/>
  <c r="R5" i="1"/>
  <c r="S5" i="1"/>
  <c r="T5" i="1"/>
  <c r="A5" i="1"/>
  <c r="B4" i="1"/>
  <c r="C4" i="1"/>
  <c r="D4" i="1"/>
  <c r="E4" i="1"/>
  <c r="C6" i="1" s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A4" i="1"/>
  <c r="F25" i="1" l="1"/>
  <c r="G25" i="1" s="1"/>
</calcChain>
</file>

<file path=xl/sharedStrings.xml><?xml version="1.0" encoding="utf-8"?>
<sst xmlns="http://schemas.openxmlformats.org/spreadsheetml/2006/main" count="10" uniqueCount="6">
  <si>
    <t>内容</t>
  </si>
  <si>
    <t>R/Ω</t>
  </si>
  <si>
    <t>I/mA</t>
  </si>
  <si>
    <t>U/V</t>
  </si>
  <si>
    <t>P/mW</t>
  </si>
  <si>
    <r>
      <t>R/</t>
    </r>
    <r>
      <rPr>
        <b/>
        <sz val="12"/>
        <color theme="1"/>
        <rFont val="Calibri"/>
        <family val="3"/>
        <charset val="161"/>
      </rPr>
      <t>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</si>
</sst>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.0_ "/>
    <numFmt numFmtId="178" formatCode="0.00_);[Red]\(0.00\)"/>
    <numFmt numFmtId="179" formatCode="0.0000_ "/>
    <numFmt numFmtId="180" formatCode="0.0_);[Red]\(0.0\)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2"/>
      <color theme="1"/>
      <name val="Calibri"/>
      <family val="3"/>
      <charset val="16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177" fontId="4" fillId="0" borderId="1" xfId="0" applyNumberFormat="1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179" fontId="3" fillId="0" borderId="1" xfId="0" applyNumberFormat="1" applyFont="1" applyBorder="1" applyAlignment="1">
      <alignment horizontal="center"/>
    </xf>
    <xf numFmtId="178" fontId="3" fillId="0" borderId="1" xfId="0" applyNumberFormat="1" applyFont="1" applyBorder="1" applyAlignment="1">
      <alignment horizontal="center"/>
    </xf>
    <xf numFmtId="178" fontId="4" fillId="0" borderId="1" xfId="0" applyNumberFormat="1" applyFont="1" applyBorder="1" applyAlignment="1">
      <alignment horizontal="center"/>
    </xf>
    <xf numFmtId="180" fontId="3" fillId="0" borderId="1" xfId="0" applyNumberFormat="1" applyFont="1" applyBorder="1" applyAlignment="1">
      <alignment horizontal="center"/>
    </xf>
    <xf numFmtId="180" fontId="4" fillId="0" borderId="1" xfId="0" applyNumberFormat="1" applyFont="1" applyBorder="1" applyAlignment="1">
      <alignment horizontal="center"/>
    </xf>
    <xf numFmtId="178" fontId="0" fillId="0" borderId="0" xfId="0" applyNumberFormat="1" applyAlignment="1">
      <alignment horizontal="center"/>
    </xf>
    <xf numFmtId="180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76" fontId="3" fillId="0" borderId="2" xfId="0" applyNumberFormat="1" applyFont="1" applyBorder="1" applyAlignment="1">
      <alignment horizontal="center"/>
    </xf>
    <xf numFmtId="180" fontId="3" fillId="0" borderId="2" xfId="0" applyNumberFormat="1" applyFont="1" applyBorder="1" applyAlignment="1">
      <alignment horizontal="center"/>
    </xf>
    <xf numFmtId="178" fontId="3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 b="1">
                <a:effectLst/>
                <a:latin typeface="宋体" panose="02010600030101010101" pitchFamily="2" charset="-122"/>
                <a:ea typeface="宋体" panose="02010600030101010101" pitchFamily="2" charset="-122"/>
              </a:rPr>
              <a:t>P</a:t>
            </a:r>
            <a:r>
              <a:rPr lang="zh-CN" altLang="en-US" sz="1600" b="1">
                <a:effectLst/>
                <a:latin typeface="宋体" panose="02010600030101010101" pitchFamily="2" charset="-122"/>
                <a:ea typeface="宋体" panose="02010600030101010101" pitchFamily="2" charset="-122"/>
              </a:rPr>
              <a:t>输出</a:t>
            </a:r>
            <a:r>
              <a:rPr lang="en-US" altLang="zh-CN" sz="1600" b="1">
                <a:effectLst/>
                <a:latin typeface="宋体" panose="02010600030101010101" pitchFamily="2" charset="-122"/>
                <a:ea typeface="宋体" panose="02010600030101010101" pitchFamily="2" charset="-122"/>
              </a:rPr>
              <a:t>-R</a:t>
            </a:r>
            <a:r>
              <a:rPr lang="zh-CN" altLang="en-US" sz="1600" b="1">
                <a:effectLst/>
                <a:latin typeface="宋体" panose="02010600030101010101" pitchFamily="2" charset="-122"/>
                <a:ea typeface="宋体" panose="02010600030101010101" pitchFamily="2" charset="-122"/>
              </a:rPr>
              <a:t>负载曲线</a:t>
            </a:r>
          </a:p>
        </c:rich>
      </c:tx>
      <c:layout>
        <c:manualLayout>
          <c:xMode val="edge"/>
          <c:yMode val="edge"/>
          <c:x val="0.2982985564304461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I=45mA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Sheet1!$A$4:$T$4</c:f>
              <c:numCache>
                <c:formatCode>0.0_ </c:formatCode>
                <c:ptCount val="20"/>
                <c:pt idx="0">
                  <c:v>0.22222222222222224</c:v>
                </c:pt>
                <c:pt idx="1">
                  <c:v>10.222222222222223</c:v>
                </c:pt>
                <c:pt idx="2">
                  <c:v>20</c:v>
                </c:pt>
                <c:pt idx="3">
                  <c:v>30.000000000000004</c:v>
                </c:pt>
                <c:pt idx="4">
                  <c:v>40.046838407494143</c:v>
                </c:pt>
                <c:pt idx="5">
                  <c:v>49.999999999999993</c:v>
                </c:pt>
                <c:pt idx="6">
                  <c:v>59.677419354838712</c:v>
                </c:pt>
                <c:pt idx="7">
                  <c:v>69.629629629629619</c:v>
                </c:pt>
                <c:pt idx="8">
                  <c:v>79.9163179916318</c:v>
                </c:pt>
                <c:pt idx="9">
                  <c:v>89.302325581395351</c:v>
                </c:pt>
                <c:pt idx="10">
                  <c:v>100</c:v>
                </c:pt>
                <c:pt idx="11">
                  <c:v>109.55056179775281</c:v>
                </c:pt>
                <c:pt idx="12">
                  <c:v>119.51219512195122</c:v>
                </c:pt>
                <c:pt idx="13">
                  <c:v>139.71631205673759</c:v>
                </c:pt>
                <c:pt idx="14">
                  <c:v>159.67741935483869</c:v>
                </c:pt>
                <c:pt idx="15">
                  <c:v>169.23076923076923</c:v>
                </c:pt>
                <c:pt idx="16">
                  <c:v>179.27927927927928</c:v>
                </c:pt>
                <c:pt idx="17">
                  <c:v>199</c:v>
                </c:pt>
                <c:pt idx="18">
                  <c:v>219.78021978021977</c:v>
                </c:pt>
                <c:pt idx="19">
                  <c:v>257.69230769230768</c:v>
                </c:pt>
              </c:numCache>
            </c:numRef>
          </c:xVal>
          <c:yVal>
            <c:numRef>
              <c:f>Sheet1!$A$5:$T$5</c:f>
              <c:numCache>
                <c:formatCode>0.00_);[Red]\(0.00\)</c:formatCode>
                <c:ptCount val="20"/>
                <c:pt idx="0">
                  <c:v>0.45</c:v>
                </c:pt>
                <c:pt idx="1">
                  <c:v>20.7</c:v>
                </c:pt>
                <c:pt idx="2">
                  <c:v>40.5</c:v>
                </c:pt>
                <c:pt idx="3">
                  <c:v>60.750000000000007</c:v>
                </c:pt>
                <c:pt idx="4">
                  <c:v>73.01700000000001</c:v>
                </c:pt>
                <c:pt idx="5">
                  <c:v>65.522000000000006</c:v>
                </c:pt>
                <c:pt idx="6">
                  <c:v>57.35</c:v>
                </c:pt>
                <c:pt idx="7">
                  <c:v>50.76</c:v>
                </c:pt>
                <c:pt idx="8">
                  <c:v>45.648999999999994</c:v>
                </c:pt>
                <c:pt idx="9">
                  <c:v>41.28</c:v>
                </c:pt>
                <c:pt idx="10">
                  <c:v>37.635999999999996</c:v>
                </c:pt>
                <c:pt idx="11">
                  <c:v>34.71</c:v>
                </c:pt>
                <c:pt idx="12">
                  <c:v>32.143999999999998</c:v>
                </c:pt>
                <c:pt idx="13">
                  <c:v>27.776999999999997</c:v>
                </c:pt>
                <c:pt idx="14">
                  <c:v>24.552</c:v>
                </c:pt>
                <c:pt idx="15">
                  <c:v>23.165999999999997</c:v>
                </c:pt>
                <c:pt idx="16">
                  <c:v>22.088999999999999</c:v>
                </c:pt>
                <c:pt idx="17">
                  <c:v>19.899999999999999</c:v>
                </c:pt>
                <c:pt idx="18">
                  <c:v>18.2</c:v>
                </c:pt>
                <c:pt idx="19">
                  <c:v>15.677999999999997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63-49A0-A147-9A31F15FF49A}"/>
            </c:ext>
          </c:extLst>
        </c:ser>
        <c:ser>
          <c:idx val="1"/>
          <c:order val="1"/>
          <c:tx>
            <c:v>I=35mA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Sheet1!$A$10:$T$10</c:f>
              <c:numCache>
                <c:formatCode>0.0_);[Red]\(0.0\)</c:formatCode>
                <c:ptCount val="20"/>
                <c:pt idx="0">
                  <c:v>0.28653295128939832</c:v>
                </c:pt>
                <c:pt idx="1">
                  <c:v>10.315186246418337</c:v>
                </c:pt>
                <c:pt idx="2">
                  <c:v>20.057306590257877</c:v>
                </c:pt>
                <c:pt idx="3">
                  <c:v>30.085959885386821</c:v>
                </c:pt>
                <c:pt idx="4">
                  <c:v>40.114613180515754</c:v>
                </c:pt>
                <c:pt idx="5">
                  <c:v>49.999999999999993</c:v>
                </c:pt>
                <c:pt idx="6">
                  <c:v>59.797297297297298</c:v>
                </c:pt>
                <c:pt idx="7">
                  <c:v>69.731800766283513</c:v>
                </c:pt>
                <c:pt idx="8">
                  <c:v>79.74137931034484</c:v>
                </c:pt>
                <c:pt idx="9">
                  <c:v>89.473684210526329</c:v>
                </c:pt>
                <c:pt idx="10">
                  <c:v>100</c:v>
                </c:pt>
                <c:pt idx="11">
                  <c:v>109.82658959537571</c:v>
                </c:pt>
                <c:pt idx="12">
                  <c:v>119.375</c:v>
                </c:pt>
                <c:pt idx="13">
                  <c:v>129.72972972972971</c:v>
                </c:pt>
                <c:pt idx="14">
                  <c:v>139.8550724637681</c:v>
                </c:pt>
                <c:pt idx="15">
                  <c:v>159.01639344262296</c:v>
                </c:pt>
                <c:pt idx="16">
                  <c:v>169.56521739130434</c:v>
                </c:pt>
                <c:pt idx="17">
                  <c:v>199.99999999999997</c:v>
                </c:pt>
                <c:pt idx="18">
                  <c:v>229.06976744186048</c:v>
                </c:pt>
                <c:pt idx="19">
                  <c:v>326.22950819672133</c:v>
                </c:pt>
              </c:numCache>
            </c:numRef>
          </c:xVal>
          <c:yVal>
            <c:numRef>
              <c:f>Sheet1!$A$11:$T$11</c:f>
              <c:numCache>
                <c:formatCode>0.00_);[Red]\(0.00\)</c:formatCode>
                <c:ptCount val="20"/>
                <c:pt idx="0">
                  <c:v>0.34899999999999998</c:v>
                </c:pt>
                <c:pt idx="1">
                  <c:v>12.563999999999998</c:v>
                </c:pt>
                <c:pt idx="2">
                  <c:v>24.429999999999996</c:v>
                </c:pt>
                <c:pt idx="3">
                  <c:v>36.645000000000003</c:v>
                </c:pt>
                <c:pt idx="4">
                  <c:v>48.859999999999992</c:v>
                </c:pt>
                <c:pt idx="5">
                  <c:v>56.448</c:v>
                </c:pt>
                <c:pt idx="6">
                  <c:v>52.392000000000003</c:v>
                </c:pt>
                <c:pt idx="7">
                  <c:v>47.502000000000002</c:v>
                </c:pt>
                <c:pt idx="8">
                  <c:v>42.92</c:v>
                </c:pt>
                <c:pt idx="9">
                  <c:v>39.082999999999998</c:v>
                </c:pt>
                <c:pt idx="10">
                  <c:v>35.720999999999997</c:v>
                </c:pt>
                <c:pt idx="11">
                  <c:v>32.869999999999997</c:v>
                </c:pt>
                <c:pt idx="12">
                  <c:v>30.56</c:v>
                </c:pt>
                <c:pt idx="13">
                  <c:v>28.416</c:v>
                </c:pt>
                <c:pt idx="14">
                  <c:v>26.634</c:v>
                </c:pt>
                <c:pt idx="15">
                  <c:v>23.667999999999999</c:v>
                </c:pt>
                <c:pt idx="16">
                  <c:v>22.425000000000001</c:v>
                </c:pt>
                <c:pt idx="17">
                  <c:v>19.208000000000002</c:v>
                </c:pt>
                <c:pt idx="18">
                  <c:v>16.942</c:v>
                </c:pt>
                <c:pt idx="19">
                  <c:v>12.138999999999999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63-49A0-A147-9A31F15FF49A}"/>
            </c:ext>
          </c:extLst>
        </c:ser>
        <c:ser>
          <c:idx val="2"/>
          <c:order val="2"/>
          <c:tx>
            <c:v>I=25mA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Sheet1!$A$16:$T$16</c:f>
              <c:numCache>
                <c:formatCode>0.0_);[Red]\(0.0\)</c:formatCode>
                <c:ptCount val="20"/>
                <c:pt idx="0">
                  <c:v>0.40160642570281124</c:v>
                </c:pt>
                <c:pt idx="1">
                  <c:v>10.040160642570282</c:v>
                </c:pt>
                <c:pt idx="2">
                  <c:v>20.080321285140563</c:v>
                </c:pt>
                <c:pt idx="3">
                  <c:v>29.718875502008036</c:v>
                </c:pt>
                <c:pt idx="4">
                  <c:v>39.75903614457831</c:v>
                </c:pt>
                <c:pt idx="5">
                  <c:v>49.397590361445786</c:v>
                </c:pt>
                <c:pt idx="6">
                  <c:v>59.437751004016071</c:v>
                </c:pt>
                <c:pt idx="7">
                  <c:v>69.037656903765694</c:v>
                </c:pt>
                <c:pt idx="8">
                  <c:v>78.89908256880733</c:v>
                </c:pt>
                <c:pt idx="9">
                  <c:v>88.888888888888886</c:v>
                </c:pt>
                <c:pt idx="10">
                  <c:v>93.193717277486897</c:v>
                </c:pt>
                <c:pt idx="11">
                  <c:v>108.43373493975902</c:v>
                </c:pt>
                <c:pt idx="12">
                  <c:v>118.18181818181817</c:v>
                </c:pt>
                <c:pt idx="13">
                  <c:v>127.97202797202797</c:v>
                </c:pt>
                <c:pt idx="14">
                  <c:v>137.31343283582089</c:v>
                </c:pt>
                <c:pt idx="15">
                  <c:v>157.62711864406779</c:v>
                </c:pt>
                <c:pt idx="16">
                  <c:v>195.83333333333334</c:v>
                </c:pt>
                <c:pt idx="17">
                  <c:v>237.5</c:v>
                </c:pt>
                <c:pt idx="18">
                  <c:v>313.11475409836066</c:v>
                </c:pt>
                <c:pt idx="19">
                  <c:v>438.63636363636363</c:v>
                </c:pt>
              </c:numCache>
            </c:numRef>
          </c:xVal>
          <c:yVal>
            <c:numRef>
              <c:f>Sheet1!$A$17:$T$17</c:f>
              <c:numCache>
                <c:formatCode>0.00_);[Red]\(0.00\)</c:formatCode>
                <c:ptCount val="20"/>
                <c:pt idx="0">
                  <c:v>0.249</c:v>
                </c:pt>
                <c:pt idx="1">
                  <c:v>6.2249999999999996</c:v>
                </c:pt>
                <c:pt idx="2">
                  <c:v>12.45</c:v>
                </c:pt>
                <c:pt idx="3">
                  <c:v>18.425999999999998</c:v>
                </c:pt>
                <c:pt idx="4">
                  <c:v>24.651</c:v>
                </c:pt>
                <c:pt idx="5">
                  <c:v>30.626999999999999</c:v>
                </c:pt>
                <c:pt idx="6">
                  <c:v>36.851999999999997</c:v>
                </c:pt>
                <c:pt idx="7">
                  <c:v>39.434999999999995</c:v>
                </c:pt>
                <c:pt idx="8">
                  <c:v>37.496000000000002</c:v>
                </c:pt>
                <c:pt idx="9">
                  <c:v>34.847999999999999</c:v>
                </c:pt>
                <c:pt idx="10">
                  <c:v>33.998000000000005</c:v>
                </c:pt>
                <c:pt idx="11">
                  <c:v>29.880000000000003</c:v>
                </c:pt>
                <c:pt idx="12">
                  <c:v>28.028000000000002</c:v>
                </c:pt>
                <c:pt idx="13">
                  <c:v>26.169000000000004</c:v>
                </c:pt>
                <c:pt idx="14">
                  <c:v>24.656000000000002</c:v>
                </c:pt>
                <c:pt idx="15">
                  <c:v>21.948000000000004</c:v>
                </c:pt>
                <c:pt idx="16">
                  <c:v>18.047999999999998</c:v>
                </c:pt>
                <c:pt idx="17">
                  <c:v>15.2</c:v>
                </c:pt>
                <c:pt idx="18">
                  <c:v>11.650999999999998</c:v>
                </c:pt>
                <c:pt idx="19">
                  <c:v>8.4920000000000009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663-49A0-A147-9A31F15FF49A}"/>
            </c:ext>
          </c:extLst>
        </c:ser>
        <c:ser>
          <c:idx val="3"/>
          <c:order val="3"/>
          <c:tx>
            <c:v>I=15mA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Sheet1!$A$22:$T$22</c:f>
              <c:numCache>
                <c:formatCode>0.0_);[Red]\(0.0\)</c:formatCode>
                <c:ptCount val="20"/>
                <c:pt idx="0">
                  <c:v>0</c:v>
                </c:pt>
                <c:pt idx="1">
                  <c:v>10.067114093959731</c:v>
                </c:pt>
                <c:pt idx="2">
                  <c:v>20.134228187919462</c:v>
                </c:pt>
                <c:pt idx="3">
                  <c:v>30.201342281879196</c:v>
                </c:pt>
                <c:pt idx="4">
                  <c:v>40.268456375838923</c:v>
                </c:pt>
                <c:pt idx="5">
                  <c:v>50.335570469798654</c:v>
                </c:pt>
                <c:pt idx="6">
                  <c:v>59.731543624161077</c:v>
                </c:pt>
                <c:pt idx="7">
                  <c:v>69.798657718120808</c:v>
                </c:pt>
                <c:pt idx="8">
                  <c:v>79.865771812080524</c:v>
                </c:pt>
                <c:pt idx="9">
                  <c:v>89.932885906040269</c:v>
                </c:pt>
                <c:pt idx="10">
                  <c:v>99.328859060402678</c:v>
                </c:pt>
                <c:pt idx="11">
                  <c:v>109.58904109589042</c:v>
                </c:pt>
                <c:pt idx="12">
                  <c:v>119.42446043165467</c:v>
                </c:pt>
                <c:pt idx="13">
                  <c:v>129.7709923664122</c:v>
                </c:pt>
                <c:pt idx="14">
                  <c:v>137.90322580645162</c:v>
                </c:pt>
                <c:pt idx="15">
                  <c:v>158.18181818181819</c:v>
                </c:pt>
                <c:pt idx="16">
                  <c:v>186.31578947368422</c:v>
                </c:pt>
                <c:pt idx="17">
                  <c:v>236.84210526315792</c:v>
                </c:pt>
                <c:pt idx="18">
                  <c:v>315.51724137931035</c:v>
                </c:pt>
                <c:pt idx="19">
                  <c:v>375.51020408163265</c:v>
                </c:pt>
              </c:numCache>
            </c:numRef>
          </c:xVal>
          <c:yVal>
            <c:numRef>
              <c:f>Sheet1!$A$23:$T$23</c:f>
              <c:numCache>
                <c:formatCode>General</c:formatCode>
                <c:ptCount val="20"/>
                <c:pt idx="0">
                  <c:v>0</c:v>
                </c:pt>
                <c:pt idx="1">
                  <c:v>2.2349999999999999</c:v>
                </c:pt>
                <c:pt idx="2">
                  <c:v>4.47</c:v>
                </c:pt>
                <c:pt idx="3">
                  <c:v>6.7050000000000001</c:v>
                </c:pt>
                <c:pt idx="4">
                  <c:v>8.94</c:v>
                </c:pt>
                <c:pt idx="5">
                  <c:v>11.175000000000001</c:v>
                </c:pt>
                <c:pt idx="6">
                  <c:v>13.261000000000001</c:v>
                </c:pt>
                <c:pt idx="7">
                  <c:v>15.496</c:v>
                </c:pt>
                <c:pt idx="8">
                  <c:v>17.730999999999998</c:v>
                </c:pt>
                <c:pt idx="9">
                  <c:v>19.966000000000001</c:v>
                </c:pt>
                <c:pt idx="10">
                  <c:v>22.052</c:v>
                </c:pt>
                <c:pt idx="11">
                  <c:v>23.36</c:v>
                </c:pt>
                <c:pt idx="12">
                  <c:v>23.073999999999998</c:v>
                </c:pt>
                <c:pt idx="13">
                  <c:v>22.27</c:v>
                </c:pt>
                <c:pt idx="14">
                  <c:v>21.204000000000001</c:v>
                </c:pt>
                <c:pt idx="15">
                  <c:v>19.14</c:v>
                </c:pt>
                <c:pt idx="16">
                  <c:v>16.815000000000001</c:v>
                </c:pt>
                <c:pt idx="17">
                  <c:v>13.68</c:v>
                </c:pt>
                <c:pt idx="18">
                  <c:v>10.614000000000001</c:v>
                </c:pt>
                <c:pt idx="19">
                  <c:v>9.0160000000000018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663-49A0-A147-9A31F15FF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978159"/>
        <c:axId val="1407978575"/>
      </c:scatterChart>
      <c:valAx>
        <c:axId val="140797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1"/>
                  <a:t>R/</a:t>
                </a:r>
                <a:r>
                  <a:rPr lang="el-GR" altLang="zh-CN" b="1"/>
                  <a:t>Ω</a:t>
                </a:r>
                <a:endParaRPr lang="zh-CN" alt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7978575"/>
        <c:crosses val="autoZero"/>
        <c:crossBetween val="midCat"/>
      </c:valAx>
      <c:valAx>
        <c:axId val="140797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1" i="0" u="none" strike="noStrike" baseline="0">
                    <a:effectLst/>
                  </a:rPr>
                  <a:t>P/mW</a:t>
                </a:r>
                <a:r>
                  <a:rPr lang="en-US" altLang="zh-CN" sz="1000" b="0" i="0" u="none" strike="noStrike" baseline="0"/>
                  <a:t> 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7978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203200</xdr:colOff>
      <xdr:row>26</xdr:row>
      <xdr:rowOff>158750</xdr:rowOff>
    </xdr:from>
    <xdr:to>
      <xdr:col>20</xdr:col>
      <xdr:colOff>184150</xdr:colOff>
      <xdr:row>41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98C41E0-67A5-4623-AA44-CD7C099C89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tabSelected="1" workbookViewId="0">
      <selection activeCell="N28" sqref="N28"/>
    </sheetView>
  </sheetViews>
  <sheetFormatPr defaultRowHeight="14" x14ac:dyDescent="0.3"/>
  <cols>
    <col min="1" max="16384" width="8.6640625" style="1"/>
  </cols>
  <sheetData>
    <row r="1" spans="1:20" ht="14.5" x14ac:dyDescent="0.3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  <c r="H1" s="4">
        <v>8</v>
      </c>
      <c r="I1" s="4">
        <v>9</v>
      </c>
      <c r="J1" s="4">
        <v>10</v>
      </c>
      <c r="K1" s="4">
        <v>11</v>
      </c>
      <c r="L1" s="4">
        <v>12</v>
      </c>
      <c r="M1" s="4">
        <v>13</v>
      </c>
      <c r="N1" s="4">
        <v>14</v>
      </c>
      <c r="O1" s="4">
        <v>15</v>
      </c>
      <c r="P1" s="4">
        <v>16</v>
      </c>
      <c r="Q1" s="4">
        <v>17</v>
      </c>
      <c r="R1" s="4">
        <v>18</v>
      </c>
      <c r="S1" s="4">
        <v>19</v>
      </c>
      <c r="T1" s="4">
        <v>20</v>
      </c>
    </row>
    <row r="2" spans="1:20" s="2" customFormat="1" ht="14.5" x14ac:dyDescent="0.3">
      <c r="A2" s="7">
        <v>45</v>
      </c>
      <c r="B2" s="7">
        <v>45</v>
      </c>
      <c r="C2" s="7">
        <v>45</v>
      </c>
      <c r="D2" s="7">
        <v>45</v>
      </c>
      <c r="E2" s="8">
        <v>42.7</v>
      </c>
      <c r="F2" s="7">
        <v>36.200000000000003</v>
      </c>
      <c r="G2" s="7">
        <v>31</v>
      </c>
      <c r="H2" s="7">
        <v>27</v>
      </c>
      <c r="I2" s="7">
        <v>23.9</v>
      </c>
      <c r="J2" s="7">
        <v>21.5</v>
      </c>
      <c r="K2" s="7">
        <v>19.399999999999999</v>
      </c>
      <c r="L2" s="7">
        <v>17.8</v>
      </c>
      <c r="M2" s="7">
        <v>16.399999999999999</v>
      </c>
      <c r="N2" s="7">
        <v>14.1</v>
      </c>
      <c r="O2" s="7">
        <v>12.4</v>
      </c>
      <c r="P2" s="7">
        <v>11.7</v>
      </c>
      <c r="Q2" s="7">
        <v>11.1</v>
      </c>
      <c r="R2" s="7">
        <v>10</v>
      </c>
      <c r="S2" s="7">
        <v>9.1</v>
      </c>
      <c r="T2" s="7">
        <v>7.8</v>
      </c>
    </row>
    <row r="3" spans="1:20" s="16" customFormat="1" ht="14.5" x14ac:dyDescent="0.3">
      <c r="A3" s="12">
        <v>0.01</v>
      </c>
      <c r="B3" s="12">
        <v>0.46</v>
      </c>
      <c r="C3" s="12">
        <v>0.9</v>
      </c>
      <c r="D3" s="12">
        <v>1.35</v>
      </c>
      <c r="E3" s="13">
        <v>1.71</v>
      </c>
      <c r="F3" s="12">
        <v>1.81</v>
      </c>
      <c r="G3" s="12">
        <v>1.85</v>
      </c>
      <c r="H3" s="12">
        <v>1.88</v>
      </c>
      <c r="I3" s="12">
        <v>1.91</v>
      </c>
      <c r="J3" s="12">
        <v>1.92</v>
      </c>
      <c r="K3" s="12">
        <v>1.94</v>
      </c>
      <c r="L3" s="12">
        <v>1.95</v>
      </c>
      <c r="M3" s="12">
        <v>1.96</v>
      </c>
      <c r="N3" s="12">
        <v>1.97</v>
      </c>
      <c r="O3" s="12">
        <v>1.98</v>
      </c>
      <c r="P3" s="12">
        <v>1.98</v>
      </c>
      <c r="Q3" s="12">
        <v>1.99</v>
      </c>
      <c r="R3" s="12">
        <v>1.99</v>
      </c>
      <c r="S3" s="12">
        <v>2</v>
      </c>
      <c r="T3" s="12">
        <v>2.0099999999999998</v>
      </c>
    </row>
    <row r="4" spans="1:20" ht="14.5" x14ac:dyDescent="0.3">
      <c r="A4" s="7">
        <f>A3/A2*1000</f>
        <v>0.22222222222222224</v>
      </c>
      <c r="B4" s="7">
        <f t="shared" ref="B4:T4" si="0">B3/B2*1000</f>
        <v>10.222222222222223</v>
      </c>
      <c r="C4" s="7">
        <f t="shared" si="0"/>
        <v>20</v>
      </c>
      <c r="D4" s="7">
        <f t="shared" si="0"/>
        <v>30.000000000000004</v>
      </c>
      <c r="E4" s="8">
        <f t="shared" si="0"/>
        <v>40.046838407494143</v>
      </c>
      <c r="F4" s="7">
        <f t="shared" si="0"/>
        <v>49.999999999999993</v>
      </c>
      <c r="G4" s="7">
        <f t="shared" si="0"/>
        <v>59.677419354838712</v>
      </c>
      <c r="H4" s="7">
        <f t="shared" si="0"/>
        <v>69.629629629629619</v>
      </c>
      <c r="I4" s="7">
        <f t="shared" si="0"/>
        <v>79.9163179916318</v>
      </c>
      <c r="J4" s="7">
        <f t="shared" si="0"/>
        <v>89.302325581395351</v>
      </c>
      <c r="K4" s="7">
        <f t="shared" si="0"/>
        <v>100</v>
      </c>
      <c r="L4" s="7">
        <f t="shared" si="0"/>
        <v>109.55056179775281</v>
      </c>
      <c r="M4" s="7">
        <f t="shared" si="0"/>
        <v>119.51219512195122</v>
      </c>
      <c r="N4" s="7">
        <f t="shared" si="0"/>
        <v>139.71631205673759</v>
      </c>
      <c r="O4" s="7">
        <f t="shared" si="0"/>
        <v>159.67741935483869</v>
      </c>
      <c r="P4" s="7">
        <f t="shared" si="0"/>
        <v>169.23076923076923</v>
      </c>
      <c r="Q4" s="7">
        <f t="shared" si="0"/>
        <v>179.27927927927928</v>
      </c>
      <c r="R4" s="7">
        <f t="shared" si="0"/>
        <v>199</v>
      </c>
      <c r="S4" s="7">
        <f t="shared" si="0"/>
        <v>219.78021978021977</v>
      </c>
      <c r="T4" s="7">
        <f t="shared" si="0"/>
        <v>257.69230769230768</v>
      </c>
    </row>
    <row r="5" spans="1:20" s="16" customFormat="1" ht="14.5" x14ac:dyDescent="0.3">
      <c r="A5" s="12">
        <f>A2*A3</f>
        <v>0.45</v>
      </c>
      <c r="B5" s="12">
        <f t="shared" ref="B5:T5" si="1">B2*B3</f>
        <v>20.7</v>
      </c>
      <c r="C5" s="12">
        <f t="shared" si="1"/>
        <v>40.5</v>
      </c>
      <c r="D5" s="12">
        <f t="shared" si="1"/>
        <v>60.750000000000007</v>
      </c>
      <c r="E5" s="13">
        <f t="shared" si="1"/>
        <v>73.01700000000001</v>
      </c>
      <c r="F5" s="12">
        <f t="shared" si="1"/>
        <v>65.522000000000006</v>
      </c>
      <c r="G5" s="12">
        <f t="shared" si="1"/>
        <v>57.35</v>
      </c>
      <c r="H5" s="12">
        <f t="shared" si="1"/>
        <v>50.76</v>
      </c>
      <c r="I5" s="12">
        <f t="shared" si="1"/>
        <v>45.648999999999994</v>
      </c>
      <c r="J5" s="12">
        <f t="shared" si="1"/>
        <v>41.28</v>
      </c>
      <c r="K5" s="12">
        <f t="shared" si="1"/>
        <v>37.635999999999996</v>
      </c>
      <c r="L5" s="12">
        <f t="shared" si="1"/>
        <v>34.71</v>
      </c>
      <c r="M5" s="12">
        <f t="shared" si="1"/>
        <v>32.143999999999998</v>
      </c>
      <c r="N5" s="12">
        <f t="shared" si="1"/>
        <v>27.776999999999997</v>
      </c>
      <c r="O5" s="12">
        <f t="shared" si="1"/>
        <v>24.552</v>
      </c>
      <c r="P5" s="12">
        <f t="shared" si="1"/>
        <v>23.165999999999997</v>
      </c>
      <c r="Q5" s="12">
        <f>Q2*Q3</f>
        <v>22.088999999999999</v>
      </c>
      <c r="R5" s="12">
        <f t="shared" si="1"/>
        <v>19.899999999999999</v>
      </c>
      <c r="S5" s="12">
        <f t="shared" si="1"/>
        <v>18.2</v>
      </c>
      <c r="T5" s="12">
        <f t="shared" si="1"/>
        <v>15.677999999999997</v>
      </c>
    </row>
    <row r="6" spans="1:20" ht="14.5" x14ac:dyDescent="0.3">
      <c r="A6" s="5">
        <v>2.0299999999999998</v>
      </c>
      <c r="B6" s="7">
        <f>A6/A2*1000</f>
        <v>45.111111111111107</v>
      </c>
      <c r="C6" s="11">
        <f>E4/B6</f>
        <v>0.88773779721046142</v>
      </c>
      <c r="D6" s="5">
        <f>A6*A2</f>
        <v>91.35</v>
      </c>
      <c r="E6" s="11">
        <f>E5/D6</f>
        <v>0.79931034482758634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14.5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ht="14.5" x14ac:dyDescent="0.3">
      <c r="A8" s="5">
        <v>34.9</v>
      </c>
      <c r="B8" s="5">
        <v>34.9</v>
      </c>
      <c r="C8" s="5">
        <v>34.9</v>
      </c>
      <c r="D8" s="5">
        <v>34.9</v>
      </c>
      <c r="E8" s="5">
        <v>34.9</v>
      </c>
      <c r="F8" s="6">
        <v>33.6</v>
      </c>
      <c r="G8" s="5">
        <v>29.6</v>
      </c>
      <c r="H8" s="5">
        <v>26.1</v>
      </c>
      <c r="I8" s="5">
        <v>23.2</v>
      </c>
      <c r="J8" s="5">
        <v>20.9</v>
      </c>
      <c r="K8" s="5">
        <v>18.899999999999999</v>
      </c>
      <c r="L8" s="5">
        <v>17.3</v>
      </c>
      <c r="M8" s="5">
        <v>16</v>
      </c>
      <c r="N8" s="5">
        <v>14.8</v>
      </c>
      <c r="O8" s="5">
        <v>13.8</v>
      </c>
      <c r="P8" s="5">
        <v>12.2</v>
      </c>
      <c r="Q8" s="5">
        <v>11.5</v>
      </c>
      <c r="R8" s="5">
        <v>9.8000000000000007</v>
      </c>
      <c r="S8" s="5">
        <v>8.6</v>
      </c>
      <c r="T8" s="5">
        <v>6.1</v>
      </c>
    </row>
    <row r="9" spans="1:20" s="3" customFormat="1" ht="14.5" x14ac:dyDescent="0.3">
      <c r="A9" s="9">
        <v>0.01</v>
      </c>
      <c r="B9" s="9">
        <v>0.36</v>
      </c>
      <c r="C9" s="9">
        <v>0.7</v>
      </c>
      <c r="D9" s="9">
        <v>1.05</v>
      </c>
      <c r="E9" s="9">
        <v>1.4</v>
      </c>
      <c r="F9" s="10">
        <v>1.68</v>
      </c>
      <c r="G9" s="9">
        <v>1.77</v>
      </c>
      <c r="H9" s="9">
        <v>1.82</v>
      </c>
      <c r="I9" s="9">
        <v>1.85</v>
      </c>
      <c r="J9" s="9">
        <v>1.87</v>
      </c>
      <c r="K9" s="9">
        <v>1.89</v>
      </c>
      <c r="L9" s="9">
        <v>1.9</v>
      </c>
      <c r="M9" s="9">
        <v>1.91</v>
      </c>
      <c r="N9" s="9">
        <v>1.92</v>
      </c>
      <c r="O9" s="9">
        <v>1.93</v>
      </c>
      <c r="P9" s="9">
        <v>1.94</v>
      </c>
      <c r="Q9" s="9">
        <v>1.95</v>
      </c>
      <c r="R9" s="9">
        <v>1.96</v>
      </c>
      <c r="S9" s="9">
        <v>1.97</v>
      </c>
      <c r="T9" s="9">
        <v>1.99</v>
      </c>
    </row>
    <row r="10" spans="1:20" s="17" customFormat="1" ht="14.5" x14ac:dyDescent="0.3">
      <c r="A10" s="14">
        <f>A9/A8*1000</f>
        <v>0.28653295128939832</v>
      </c>
      <c r="B10" s="14">
        <f t="shared" ref="B10:T10" si="2">B9/B8*1000</f>
        <v>10.315186246418337</v>
      </c>
      <c r="C10" s="14">
        <f t="shared" si="2"/>
        <v>20.057306590257877</v>
      </c>
      <c r="D10" s="14">
        <f t="shared" si="2"/>
        <v>30.085959885386821</v>
      </c>
      <c r="E10" s="14">
        <f t="shared" si="2"/>
        <v>40.114613180515754</v>
      </c>
      <c r="F10" s="15">
        <f t="shared" si="2"/>
        <v>49.999999999999993</v>
      </c>
      <c r="G10" s="14">
        <f t="shared" si="2"/>
        <v>59.797297297297298</v>
      </c>
      <c r="H10" s="14">
        <f t="shared" si="2"/>
        <v>69.731800766283513</v>
      </c>
      <c r="I10" s="14">
        <f t="shared" si="2"/>
        <v>79.74137931034484</v>
      </c>
      <c r="J10" s="14">
        <f t="shared" si="2"/>
        <v>89.473684210526329</v>
      </c>
      <c r="K10" s="14">
        <f t="shared" si="2"/>
        <v>100</v>
      </c>
      <c r="L10" s="14">
        <f t="shared" si="2"/>
        <v>109.82658959537571</v>
      </c>
      <c r="M10" s="14">
        <f t="shared" si="2"/>
        <v>119.375</v>
      </c>
      <c r="N10" s="14">
        <f t="shared" si="2"/>
        <v>129.72972972972971</v>
      </c>
      <c r="O10" s="14">
        <f t="shared" si="2"/>
        <v>139.8550724637681</v>
      </c>
      <c r="P10" s="14">
        <f t="shared" si="2"/>
        <v>159.01639344262296</v>
      </c>
      <c r="Q10" s="14">
        <f t="shared" si="2"/>
        <v>169.56521739130434</v>
      </c>
      <c r="R10" s="14">
        <f t="shared" si="2"/>
        <v>199.99999999999997</v>
      </c>
      <c r="S10" s="14">
        <f t="shared" si="2"/>
        <v>229.06976744186048</v>
      </c>
      <c r="T10" s="14">
        <f t="shared" si="2"/>
        <v>326.22950819672133</v>
      </c>
    </row>
    <row r="11" spans="1:20" s="16" customFormat="1" ht="14.5" x14ac:dyDescent="0.3">
      <c r="A11" s="12">
        <f>A8*A9</f>
        <v>0.34899999999999998</v>
      </c>
      <c r="B11" s="12">
        <f t="shared" ref="B11:T11" si="3">B8*B9</f>
        <v>12.563999999999998</v>
      </c>
      <c r="C11" s="12">
        <f t="shared" si="3"/>
        <v>24.429999999999996</v>
      </c>
      <c r="D11" s="12">
        <f t="shared" si="3"/>
        <v>36.645000000000003</v>
      </c>
      <c r="E11" s="12">
        <f t="shared" si="3"/>
        <v>48.859999999999992</v>
      </c>
      <c r="F11" s="13">
        <f t="shared" si="3"/>
        <v>56.448</v>
      </c>
      <c r="G11" s="12">
        <f t="shared" si="3"/>
        <v>52.392000000000003</v>
      </c>
      <c r="H11" s="12">
        <f t="shared" si="3"/>
        <v>47.502000000000002</v>
      </c>
      <c r="I11" s="12">
        <f t="shared" si="3"/>
        <v>42.92</v>
      </c>
      <c r="J11" s="12">
        <f t="shared" si="3"/>
        <v>39.082999999999998</v>
      </c>
      <c r="K11" s="12">
        <f t="shared" si="3"/>
        <v>35.720999999999997</v>
      </c>
      <c r="L11" s="12">
        <f t="shared" si="3"/>
        <v>32.869999999999997</v>
      </c>
      <c r="M11" s="12">
        <f t="shared" si="3"/>
        <v>30.56</v>
      </c>
      <c r="N11" s="12">
        <f t="shared" si="3"/>
        <v>28.416</v>
      </c>
      <c r="O11" s="12">
        <f t="shared" si="3"/>
        <v>26.634</v>
      </c>
      <c r="P11" s="12">
        <f t="shared" si="3"/>
        <v>23.667999999999999</v>
      </c>
      <c r="Q11" s="12">
        <f t="shared" si="3"/>
        <v>22.425000000000001</v>
      </c>
      <c r="R11" s="12">
        <f t="shared" si="3"/>
        <v>19.208000000000002</v>
      </c>
      <c r="S11" s="12">
        <f t="shared" si="3"/>
        <v>16.942</v>
      </c>
      <c r="T11" s="12">
        <f t="shared" si="3"/>
        <v>12.138999999999999</v>
      </c>
    </row>
    <row r="12" spans="1:20" ht="14.5" x14ac:dyDescent="0.3">
      <c r="A12" s="5">
        <v>2.0099999999999998</v>
      </c>
      <c r="B12" s="7">
        <f>A12/A8*1000</f>
        <v>57.59312320916905</v>
      </c>
      <c r="C12" s="11">
        <f>F10/B12</f>
        <v>0.86815920398009949</v>
      </c>
      <c r="D12" s="9">
        <f>A12*A8</f>
        <v>70.148999999999987</v>
      </c>
      <c r="E12" s="11">
        <f>F11/D12</f>
        <v>0.80468716588974909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4.5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s="2" customFormat="1" ht="14.5" x14ac:dyDescent="0.3">
      <c r="A14" s="7">
        <v>24.9</v>
      </c>
      <c r="B14" s="7">
        <v>24.9</v>
      </c>
      <c r="C14" s="7">
        <v>24.9</v>
      </c>
      <c r="D14" s="7">
        <v>24.9</v>
      </c>
      <c r="E14" s="7">
        <v>24.9</v>
      </c>
      <c r="F14" s="7">
        <v>24.9</v>
      </c>
      <c r="G14" s="7">
        <v>24.9</v>
      </c>
      <c r="H14" s="8">
        <v>23.9</v>
      </c>
      <c r="I14" s="7">
        <v>21.8</v>
      </c>
      <c r="J14" s="7">
        <v>19.8</v>
      </c>
      <c r="K14" s="7">
        <v>19.100000000000001</v>
      </c>
      <c r="L14" s="7">
        <v>16.600000000000001</v>
      </c>
      <c r="M14" s="7">
        <v>15.4</v>
      </c>
      <c r="N14" s="7">
        <v>14.3</v>
      </c>
      <c r="O14" s="7">
        <v>13.4</v>
      </c>
      <c r="P14" s="7">
        <v>11.8</v>
      </c>
      <c r="Q14" s="7">
        <v>9.6</v>
      </c>
      <c r="R14" s="7">
        <v>8</v>
      </c>
      <c r="S14" s="7">
        <v>6.1</v>
      </c>
      <c r="T14" s="7">
        <v>4.4000000000000004</v>
      </c>
    </row>
    <row r="15" spans="1:20" s="3" customFormat="1" ht="13.5" customHeight="1" x14ac:dyDescent="0.3">
      <c r="A15" s="9">
        <v>0.01</v>
      </c>
      <c r="B15" s="9">
        <v>0.25</v>
      </c>
      <c r="C15" s="9">
        <v>0.5</v>
      </c>
      <c r="D15" s="9">
        <v>0.74</v>
      </c>
      <c r="E15" s="9">
        <v>0.99</v>
      </c>
      <c r="F15" s="9">
        <v>1.23</v>
      </c>
      <c r="G15" s="9">
        <v>1.48</v>
      </c>
      <c r="H15" s="10">
        <v>1.65</v>
      </c>
      <c r="I15" s="9">
        <v>1.72</v>
      </c>
      <c r="J15" s="9">
        <v>1.76</v>
      </c>
      <c r="K15" s="9">
        <v>1.78</v>
      </c>
      <c r="L15" s="9">
        <v>1.8</v>
      </c>
      <c r="M15" s="9">
        <v>1.82</v>
      </c>
      <c r="N15" s="9">
        <v>1.83</v>
      </c>
      <c r="O15" s="9">
        <v>1.84</v>
      </c>
      <c r="P15" s="9">
        <v>1.86</v>
      </c>
      <c r="Q15" s="9">
        <v>1.88</v>
      </c>
      <c r="R15" s="9">
        <v>1.9</v>
      </c>
      <c r="S15" s="9">
        <v>1.91</v>
      </c>
      <c r="T15" s="9">
        <v>1.93</v>
      </c>
    </row>
    <row r="16" spans="1:20" s="17" customFormat="1" ht="14.5" x14ac:dyDescent="0.3">
      <c r="A16" s="14">
        <f>A15/A14*1000</f>
        <v>0.40160642570281124</v>
      </c>
      <c r="B16" s="14">
        <f t="shared" ref="B16:T16" si="4">B15/B14*1000</f>
        <v>10.040160642570282</v>
      </c>
      <c r="C16" s="14">
        <f t="shared" si="4"/>
        <v>20.080321285140563</v>
      </c>
      <c r="D16" s="14">
        <f t="shared" si="4"/>
        <v>29.718875502008036</v>
      </c>
      <c r="E16" s="14">
        <f t="shared" si="4"/>
        <v>39.75903614457831</v>
      </c>
      <c r="F16" s="14">
        <f t="shared" si="4"/>
        <v>49.397590361445786</v>
      </c>
      <c r="G16" s="14">
        <f t="shared" si="4"/>
        <v>59.437751004016071</v>
      </c>
      <c r="H16" s="15">
        <f t="shared" si="4"/>
        <v>69.037656903765694</v>
      </c>
      <c r="I16" s="14">
        <f t="shared" si="4"/>
        <v>78.89908256880733</v>
      </c>
      <c r="J16" s="14">
        <f t="shared" si="4"/>
        <v>88.888888888888886</v>
      </c>
      <c r="K16" s="14">
        <f t="shared" si="4"/>
        <v>93.193717277486897</v>
      </c>
      <c r="L16" s="14">
        <f t="shared" si="4"/>
        <v>108.43373493975902</v>
      </c>
      <c r="M16" s="14">
        <f t="shared" si="4"/>
        <v>118.18181818181817</v>
      </c>
      <c r="N16" s="14">
        <f t="shared" si="4"/>
        <v>127.97202797202797</v>
      </c>
      <c r="O16" s="14">
        <f t="shared" si="4"/>
        <v>137.31343283582089</v>
      </c>
      <c r="P16" s="14">
        <f t="shared" si="4"/>
        <v>157.62711864406779</v>
      </c>
      <c r="Q16" s="14">
        <f t="shared" si="4"/>
        <v>195.83333333333334</v>
      </c>
      <c r="R16" s="14">
        <f t="shared" si="4"/>
        <v>237.5</v>
      </c>
      <c r="S16" s="14">
        <f t="shared" si="4"/>
        <v>313.11475409836066</v>
      </c>
      <c r="T16" s="14">
        <f t="shared" si="4"/>
        <v>438.63636363636363</v>
      </c>
    </row>
    <row r="17" spans="1:20" s="16" customFormat="1" ht="14.5" x14ac:dyDescent="0.3">
      <c r="A17" s="12">
        <f>A14*A15</f>
        <v>0.249</v>
      </c>
      <c r="B17" s="12">
        <f t="shared" ref="B17:T17" si="5">B14*B15</f>
        <v>6.2249999999999996</v>
      </c>
      <c r="C17" s="12">
        <f t="shared" si="5"/>
        <v>12.45</v>
      </c>
      <c r="D17" s="12">
        <f t="shared" si="5"/>
        <v>18.425999999999998</v>
      </c>
      <c r="E17" s="12">
        <f t="shared" si="5"/>
        <v>24.651</v>
      </c>
      <c r="F17" s="12">
        <f t="shared" si="5"/>
        <v>30.626999999999999</v>
      </c>
      <c r="G17" s="12">
        <f t="shared" si="5"/>
        <v>36.851999999999997</v>
      </c>
      <c r="H17" s="13">
        <f>H14*H15</f>
        <v>39.434999999999995</v>
      </c>
      <c r="I17" s="12">
        <f t="shared" si="5"/>
        <v>37.496000000000002</v>
      </c>
      <c r="J17" s="12">
        <f t="shared" si="5"/>
        <v>34.847999999999999</v>
      </c>
      <c r="K17" s="12">
        <f t="shared" si="5"/>
        <v>33.998000000000005</v>
      </c>
      <c r="L17" s="12">
        <f t="shared" si="5"/>
        <v>29.880000000000003</v>
      </c>
      <c r="M17" s="12">
        <f t="shared" si="5"/>
        <v>28.028000000000002</v>
      </c>
      <c r="N17" s="12">
        <f t="shared" si="5"/>
        <v>26.169000000000004</v>
      </c>
      <c r="O17" s="12">
        <f t="shared" si="5"/>
        <v>24.656000000000002</v>
      </c>
      <c r="P17" s="12">
        <f t="shared" si="5"/>
        <v>21.948000000000004</v>
      </c>
      <c r="Q17" s="12">
        <f t="shared" si="5"/>
        <v>18.047999999999998</v>
      </c>
      <c r="R17" s="12">
        <f t="shared" si="5"/>
        <v>15.2</v>
      </c>
      <c r="S17" s="12">
        <f t="shared" si="5"/>
        <v>11.650999999999998</v>
      </c>
      <c r="T17" s="12">
        <f t="shared" si="5"/>
        <v>8.4920000000000009</v>
      </c>
    </row>
    <row r="18" spans="1:20" ht="14.5" x14ac:dyDescent="0.3">
      <c r="A18" s="5">
        <v>1.97</v>
      </c>
      <c r="B18" s="7">
        <f>A18/A14*1000</f>
        <v>79.116465863453826</v>
      </c>
      <c r="C18" s="11">
        <f>H16/B18</f>
        <v>0.8726079476668861</v>
      </c>
      <c r="D18" s="9">
        <f>A18*A14</f>
        <v>49.052999999999997</v>
      </c>
      <c r="E18" s="11">
        <f>H17/D18</f>
        <v>0.80392636535991679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14.5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s="2" customFormat="1" ht="14.5" x14ac:dyDescent="0.3">
      <c r="A20" s="7">
        <v>14.9</v>
      </c>
      <c r="B20" s="7">
        <v>14.9</v>
      </c>
      <c r="C20" s="7">
        <v>14.9</v>
      </c>
      <c r="D20" s="7">
        <v>14.9</v>
      </c>
      <c r="E20" s="7">
        <v>14.9</v>
      </c>
      <c r="F20" s="7">
        <v>14.9</v>
      </c>
      <c r="G20" s="7">
        <v>14.9</v>
      </c>
      <c r="H20" s="7">
        <v>14.9</v>
      </c>
      <c r="I20" s="7">
        <v>14.9</v>
      </c>
      <c r="J20" s="7">
        <v>14.9</v>
      </c>
      <c r="K20" s="7">
        <v>14.9</v>
      </c>
      <c r="L20" s="8">
        <v>14.6</v>
      </c>
      <c r="M20" s="7">
        <v>13.9</v>
      </c>
      <c r="N20" s="7">
        <v>13.1</v>
      </c>
      <c r="O20" s="7">
        <v>12.4</v>
      </c>
      <c r="P20" s="7">
        <v>11</v>
      </c>
      <c r="Q20" s="7">
        <v>9.5</v>
      </c>
      <c r="R20" s="7">
        <v>7.6</v>
      </c>
      <c r="S20" s="7">
        <v>5.8</v>
      </c>
      <c r="T20" s="7">
        <v>4.9000000000000004</v>
      </c>
    </row>
    <row r="21" spans="1:20" s="3" customFormat="1" ht="14.5" x14ac:dyDescent="0.3">
      <c r="A21" s="9">
        <v>0</v>
      </c>
      <c r="B21" s="9">
        <v>0.15</v>
      </c>
      <c r="C21" s="9">
        <v>0.3</v>
      </c>
      <c r="D21" s="9">
        <v>0.45</v>
      </c>
      <c r="E21" s="9">
        <v>0.6</v>
      </c>
      <c r="F21" s="9">
        <v>0.75</v>
      </c>
      <c r="G21" s="9">
        <v>0.89</v>
      </c>
      <c r="H21" s="9">
        <v>1.04</v>
      </c>
      <c r="I21" s="9">
        <v>1.19</v>
      </c>
      <c r="J21" s="9">
        <v>1.34</v>
      </c>
      <c r="K21" s="9">
        <v>1.48</v>
      </c>
      <c r="L21" s="10">
        <v>1.6</v>
      </c>
      <c r="M21" s="9">
        <v>1.66</v>
      </c>
      <c r="N21" s="9">
        <v>1.7</v>
      </c>
      <c r="O21" s="9">
        <v>1.71</v>
      </c>
      <c r="P21" s="9">
        <v>1.74</v>
      </c>
      <c r="Q21" s="9">
        <v>1.77</v>
      </c>
      <c r="R21" s="9">
        <v>1.8</v>
      </c>
      <c r="S21" s="9">
        <v>1.83</v>
      </c>
      <c r="T21" s="9">
        <v>1.84</v>
      </c>
    </row>
    <row r="22" spans="1:20" s="17" customFormat="1" ht="14.5" x14ac:dyDescent="0.3">
      <c r="A22" s="14">
        <f>A21/A20*1000</f>
        <v>0</v>
      </c>
      <c r="B22" s="14">
        <f t="shared" ref="B22:T22" si="6">B21/B20*1000</f>
        <v>10.067114093959731</v>
      </c>
      <c r="C22" s="14">
        <f t="shared" si="6"/>
        <v>20.134228187919462</v>
      </c>
      <c r="D22" s="14">
        <f t="shared" si="6"/>
        <v>30.201342281879196</v>
      </c>
      <c r="E22" s="14">
        <f t="shared" si="6"/>
        <v>40.268456375838923</v>
      </c>
      <c r="F22" s="14">
        <f t="shared" si="6"/>
        <v>50.335570469798654</v>
      </c>
      <c r="G22" s="14">
        <f t="shared" si="6"/>
        <v>59.731543624161077</v>
      </c>
      <c r="H22" s="14">
        <f t="shared" si="6"/>
        <v>69.798657718120808</v>
      </c>
      <c r="I22" s="14">
        <f t="shared" si="6"/>
        <v>79.865771812080524</v>
      </c>
      <c r="J22" s="14">
        <f t="shared" si="6"/>
        <v>89.932885906040269</v>
      </c>
      <c r="K22" s="14">
        <f t="shared" si="6"/>
        <v>99.328859060402678</v>
      </c>
      <c r="L22" s="15">
        <f t="shared" si="6"/>
        <v>109.58904109589042</v>
      </c>
      <c r="M22" s="14">
        <f t="shared" si="6"/>
        <v>119.42446043165467</v>
      </c>
      <c r="N22" s="14">
        <f t="shared" si="6"/>
        <v>129.7709923664122</v>
      </c>
      <c r="O22" s="14">
        <f t="shared" si="6"/>
        <v>137.90322580645162</v>
      </c>
      <c r="P22" s="14">
        <f t="shared" si="6"/>
        <v>158.18181818181819</v>
      </c>
      <c r="Q22" s="14">
        <f t="shared" si="6"/>
        <v>186.31578947368422</v>
      </c>
      <c r="R22" s="14">
        <f t="shared" si="6"/>
        <v>236.84210526315792</v>
      </c>
      <c r="S22" s="14">
        <f t="shared" si="6"/>
        <v>315.51724137931035</v>
      </c>
      <c r="T22" s="14">
        <f t="shared" si="6"/>
        <v>375.51020408163265</v>
      </c>
    </row>
    <row r="23" spans="1:20" s="16" customFormat="1" ht="14.5" x14ac:dyDescent="0.3">
      <c r="A23" s="12">
        <f>A20*A21</f>
        <v>0</v>
      </c>
      <c r="B23" s="12">
        <f t="shared" ref="B23:T23" si="7">B20*B21</f>
        <v>2.2349999999999999</v>
      </c>
      <c r="C23" s="12">
        <f t="shared" si="7"/>
        <v>4.47</v>
      </c>
      <c r="D23" s="12">
        <f t="shared" si="7"/>
        <v>6.7050000000000001</v>
      </c>
      <c r="E23" s="12">
        <f t="shared" si="7"/>
        <v>8.94</v>
      </c>
      <c r="F23" s="12">
        <f t="shared" si="7"/>
        <v>11.175000000000001</v>
      </c>
      <c r="G23" s="12">
        <f t="shared" si="7"/>
        <v>13.261000000000001</v>
      </c>
      <c r="H23" s="12">
        <f t="shared" si="7"/>
        <v>15.496</v>
      </c>
      <c r="I23" s="12">
        <f t="shared" si="7"/>
        <v>17.730999999999998</v>
      </c>
      <c r="J23" s="12">
        <f t="shared" si="7"/>
        <v>19.966000000000001</v>
      </c>
      <c r="K23" s="12">
        <f t="shared" si="7"/>
        <v>22.052</v>
      </c>
      <c r="L23" s="13">
        <f t="shared" si="7"/>
        <v>23.36</v>
      </c>
      <c r="M23" s="12">
        <f t="shared" si="7"/>
        <v>23.073999999999998</v>
      </c>
      <c r="N23" s="12">
        <f t="shared" si="7"/>
        <v>22.27</v>
      </c>
      <c r="O23" s="12">
        <f t="shared" si="7"/>
        <v>21.204000000000001</v>
      </c>
      <c r="P23" s="12">
        <f t="shared" si="7"/>
        <v>19.14</v>
      </c>
      <c r="Q23" s="12">
        <f t="shared" si="7"/>
        <v>16.815000000000001</v>
      </c>
      <c r="R23" s="12">
        <f t="shared" si="7"/>
        <v>13.68</v>
      </c>
      <c r="S23" s="12">
        <f t="shared" si="7"/>
        <v>10.614000000000001</v>
      </c>
      <c r="T23" s="12">
        <f t="shared" si="7"/>
        <v>9.0160000000000018</v>
      </c>
    </row>
    <row r="24" spans="1:20" ht="14.5" x14ac:dyDescent="0.3">
      <c r="A24" s="5">
        <v>1.9</v>
      </c>
      <c r="B24" s="7">
        <f>A24/A20*1000</f>
        <v>127.51677852348992</v>
      </c>
      <c r="C24" s="11">
        <f>L22/B24</f>
        <v>0.85940879596250919</v>
      </c>
      <c r="D24" s="5">
        <f>A24*A20</f>
        <v>28.31</v>
      </c>
      <c r="E24" s="11">
        <f>L23/D24</f>
        <v>0.82515012363122575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14.5" x14ac:dyDescent="0.3">
      <c r="A25" s="5"/>
      <c r="B25" s="5"/>
      <c r="C25" s="5"/>
      <c r="D25" s="5"/>
      <c r="E25" s="5"/>
      <c r="F25" s="11">
        <f>E6+E12+E18+E24</f>
        <v>3.2330739997084779</v>
      </c>
      <c r="G25" s="11">
        <f>F25/4</f>
        <v>0.80826849992711947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14.5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</row>
    <row r="28" spans="1:20" ht="14.5" thickBot="1" x14ac:dyDescent="0.35"/>
    <row r="29" spans="1:20" ht="15.5" thickBot="1" x14ac:dyDescent="0.35">
      <c r="B29" s="22" t="s">
        <v>0</v>
      </c>
      <c r="C29" s="22">
        <v>1</v>
      </c>
      <c r="D29" s="22">
        <v>2</v>
      </c>
      <c r="E29" s="22">
        <v>3</v>
      </c>
      <c r="F29" s="22">
        <v>4</v>
      </c>
      <c r="G29" s="22">
        <v>5</v>
      </c>
      <c r="H29" s="22">
        <v>6</v>
      </c>
      <c r="I29" s="22">
        <v>7</v>
      </c>
      <c r="J29" s="22">
        <v>8</v>
      </c>
      <c r="K29" s="22">
        <v>9</v>
      </c>
      <c r="L29" s="22">
        <v>10</v>
      </c>
    </row>
    <row r="30" spans="1:20" ht="16.5" thickBot="1" x14ac:dyDescent="0.35">
      <c r="B30" s="22" t="s">
        <v>5</v>
      </c>
      <c r="C30" s="23">
        <v>14.9</v>
      </c>
      <c r="D30" s="23">
        <v>14.9</v>
      </c>
      <c r="E30" s="23">
        <v>14.9</v>
      </c>
      <c r="F30" s="23">
        <v>14.9</v>
      </c>
      <c r="G30" s="23">
        <v>14.9</v>
      </c>
      <c r="H30" s="23">
        <v>14.9</v>
      </c>
      <c r="I30" s="23">
        <v>14.9</v>
      </c>
      <c r="J30" s="23">
        <v>14.9</v>
      </c>
      <c r="K30" s="23">
        <v>14.9</v>
      </c>
      <c r="L30" s="23">
        <v>14.9</v>
      </c>
    </row>
    <row r="31" spans="1:20" ht="15.5" thickBot="1" x14ac:dyDescent="0.35">
      <c r="B31" s="22" t="s">
        <v>2</v>
      </c>
      <c r="C31" s="19">
        <v>0</v>
      </c>
      <c r="D31" s="19">
        <v>0.15</v>
      </c>
      <c r="E31" s="19">
        <v>0.3</v>
      </c>
      <c r="F31" s="19">
        <v>0.45</v>
      </c>
      <c r="G31" s="19">
        <v>0.6</v>
      </c>
      <c r="H31" s="19">
        <v>0.75</v>
      </c>
      <c r="I31" s="19">
        <v>0.89</v>
      </c>
      <c r="J31" s="19">
        <v>1.04</v>
      </c>
      <c r="K31" s="19">
        <v>1.19</v>
      </c>
      <c r="L31" s="19">
        <v>1.34</v>
      </c>
    </row>
    <row r="32" spans="1:20" ht="15.5" thickBot="1" x14ac:dyDescent="0.35">
      <c r="B32" s="22" t="s">
        <v>3</v>
      </c>
      <c r="C32" s="20">
        <f>C31/C30*1000</f>
        <v>0</v>
      </c>
      <c r="D32" s="20">
        <f t="shared" ref="D32:L32" si="8">D31/D30*1000</f>
        <v>10.067114093959731</v>
      </c>
      <c r="E32" s="20">
        <f t="shared" si="8"/>
        <v>20.134228187919462</v>
      </c>
      <c r="F32" s="20">
        <f t="shared" si="8"/>
        <v>30.201342281879196</v>
      </c>
      <c r="G32" s="20">
        <f t="shared" si="8"/>
        <v>40.268456375838923</v>
      </c>
      <c r="H32" s="20">
        <f t="shared" si="8"/>
        <v>50.335570469798654</v>
      </c>
      <c r="I32" s="20">
        <f t="shared" si="8"/>
        <v>59.731543624161077</v>
      </c>
      <c r="J32" s="20">
        <f t="shared" si="8"/>
        <v>69.798657718120808</v>
      </c>
      <c r="K32" s="20">
        <f t="shared" si="8"/>
        <v>79.865771812080524</v>
      </c>
      <c r="L32" s="20">
        <f t="shared" si="8"/>
        <v>89.932885906040269</v>
      </c>
    </row>
    <row r="33" spans="2:12" ht="15.5" thickBot="1" x14ac:dyDescent="0.35">
      <c r="B33" s="22" t="s">
        <v>4</v>
      </c>
      <c r="C33" s="21">
        <f>C30*C31</f>
        <v>0</v>
      </c>
      <c r="D33" s="21">
        <f t="shared" ref="D33:L33" si="9">D30*D31</f>
        <v>2.2349999999999999</v>
      </c>
      <c r="E33" s="21">
        <f t="shared" si="9"/>
        <v>4.47</v>
      </c>
      <c r="F33" s="21">
        <f t="shared" si="9"/>
        <v>6.7050000000000001</v>
      </c>
      <c r="G33" s="21">
        <f t="shared" si="9"/>
        <v>8.94</v>
      </c>
      <c r="H33" s="21">
        <f t="shared" si="9"/>
        <v>11.175000000000001</v>
      </c>
      <c r="I33" s="21">
        <f t="shared" si="9"/>
        <v>13.261000000000001</v>
      </c>
      <c r="J33" s="21">
        <f t="shared" si="9"/>
        <v>15.496</v>
      </c>
      <c r="K33" s="21">
        <f t="shared" si="9"/>
        <v>17.730999999999998</v>
      </c>
      <c r="L33" s="21">
        <f t="shared" si="9"/>
        <v>19.966000000000001</v>
      </c>
    </row>
    <row r="35" spans="2:12" ht="14.5" thickBot="1" x14ac:dyDescent="0.35"/>
    <row r="36" spans="2:12" ht="15.5" thickBot="1" x14ac:dyDescent="0.35">
      <c r="B36" s="22" t="s">
        <v>0</v>
      </c>
      <c r="C36" s="22">
        <v>11</v>
      </c>
      <c r="D36" s="22">
        <v>12</v>
      </c>
      <c r="E36" s="22">
        <v>13</v>
      </c>
      <c r="F36" s="22">
        <v>14</v>
      </c>
      <c r="G36" s="22">
        <v>15</v>
      </c>
      <c r="H36" s="22">
        <v>16</v>
      </c>
      <c r="I36" s="22">
        <v>17</v>
      </c>
      <c r="J36" s="22">
        <v>18</v>
      </c>
      <c r="K36" s="22">
        <v>19</v>
      </c>
      <c r="L36" s="22">
        <v>20</v>
      </c>
    </row>
    <row r="37" spans="2:12" ht="15.5" thickBot="1" x14ac:dyDescent="0.35">
      <c r="B37" s="22" t="s">
        <v>1</v>
      </c>
      <c r="C37" s="23">
        <v>14.9</v>
      </c>
      <c r="D37" s="23">
        <v>14.6</v>
      </c>
      <c r="E37" s="23">
        <v>13.9</v>
      </c>
      <c r="F37" s="23">
        <v>13.1</v>
      </c>
      <c r="G37" s="23">
        <v>12.4</v>
      </c>
      <c r="H37" s="23">
        <v>11</v>
      </c>
      <c r="I37" s="23">
        <v>9.5</v>
      </c>
      <c r="J37" s="23">
        <v>7.6</v>
      </c>
      <c r="K37" s="23">
        <v>5.8</v>
      </c>
      <c r="L37" s="23">
        <v>4.9000000000000004</v>
      </c>
    </row>
    <row r="38" spans="2:12" ht="15.5" thickBot="1" x14ac:dyDescent="0.35">
      <c r="B38" s="22" t="s">
        <v>2</v>
      </c>
      <c r="C38" s="19">
        <v>1.48</v>
      </c>
      <c r="D38" s="19">
        <v>1.6</v>
      </c>
      <c r="E38" s="19">
        <v>1.66</v>
      </c>
      <c r="F38" s="19">
        <v>1.7</v>
      </c>
      <c r="G38" s="19">
        <v>1.71</v>
      </c>
      <c r="H38" s="19">
        <v>1.74</v>
      </c>
      <c r="I38" s="19">
        <v>1.77</v>
      </c>
      <c r="J38" s="19">
        <v>1.8</v>
      </c>
      <c r="K38" s="19">
        <v>1.83</v>
      </c>
      <c r="L38" s="19">
        <v>1.84</v>
      </c>
    </row>
    <row r="39" spans="2:12" ht="15.5" thickBot="1" x14ac:dyDescent="0.35">
      <c r="B39" s="22" t="s">
        <v>3</v>
      </c>
      <c r="C39" s="20">
        <f t="shared" ref="C39:L39" si="10">C38/C37*1000</f>
        <v>99.328859060402678</v>
      </c>
      <c r="D39" s="20">
        <f t="shared" si="10"/>
        <v>109.58904109589042</v>
      </c>
      <c r="E39" s="20">
        <f t="shared" si="10"/>
        <v>119.42446043165467</v>
      </c>
      <c r="F39" s="20">
        <f t="shared" si="10"/>
        <v>129.7709923664122</v>
      </c>
      <c r="G39" s="20">
        <f t="shared" si="10"/>
        <v>137.90322580645162</v>
      </c>
      <c r="H39" s="20">
        <f t="shared" si="10"/>
        <v>158.18181818181819</v>
      </c>
      <c r="I39" s="20">
        <f t="shared" si="10"/>
        <v>186.31578947368422</v>
      </c>
      <c r="J39" s="20">
        <f t="shared" si="10"/>
        <v>236.84210526315792</v>
      </c>
      <c r="K39" s="20">
        <f t="shared" si="10"/>
        <v>315.51724137931035</v>
      </c>
      <c r="L39" s="20">
        <f t="shared" si="10"/>
        <v>375.51020408163265</v>
      </c>
    </row>
    <row r="40" spans="2:12" ht="15.5" thickBot="1" x14ac:dyDescent="0.35">
      <c r="B40" s="22" t="s">
        <v>4</v>
      </c>
      <c r="C40" s="21">
        <f t="shared" ref="C40:L40" si="11">C37*C38</f>
        <v>22.052</v>
      </c>
      <c r="D40" s="21">
        <f t="shared" si="11"/>
        <v>23.36</v>
      </c>
      <c r="E40" s="21">
        <f t="shared" si="11"/>
        <v>23.073999999999998</v>
      </c>
      <c r="F40" s="21">
        <f t="shared" si="11"/>
        <v>22.27</v>
      </c>
      <c r="G40" s="21">
        <f t="shared" si="11"/>
        <v>21.204000000000001</v>
      </c>
      <c r="H40" s="21">
        <f t="shared" si="11"/>
        <v>19.14</v>
      </c>
      <c r="I40" s="21">
        <f t="shared" si="11"/>
        <v>16.815000000000001</v>
      </c>
      <c r="J40" s="21">
        <f t="shared" si="11"/>
        <v>13.68</v>
      </c>
      <c r="K40" s="21">
        <f t="shared" si="11"/>
        <v>10.614000000000001</v>
      </c>
      <c r="L40" s="21">
        <f t="shared" si="11"/>
        <v>9.0160000000000018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仰望星空</dc:creator>
  <cp:lastModifiedBy>仰望星空</cp:lastModifiedBy>
  <dcterms:created xsi:type="dcterms:W3CDTF">2015-06-05T18:19:34Z</dcterms:created>
  <dcterms:modified xsi:type="dcterms:W3CDTF">2021-11-04T12:12:39Z</dcterms:modified>
</cp:coreProperties>
</file>