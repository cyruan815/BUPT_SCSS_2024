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ade2\"/>
    </mc:Choice>
  </mc:AlternateContent>
  <xr:revisionPtr revIDLastSave="0" documentId="13_ncr:1_{B50557CC-ABD6-4B98-B958-820F7F8F0060}" xr6:coauthVersionLast="47" xr6:coauthVersionMax="47" xr10:uidLastSave="{00000000-0000-0000-0000-000000000000}"/>
  <bookViews>
    <workbookView xWindow="-98" yWindow="-98" windowWidth="19396" windowHeight="11596" xr2:uid="{6F0B9232-C7C4-4488-9B9F-10A15F7B53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5" i="1" l="1"/>
  <c r="C44" i="1"/>
  <c r="C43" i="1"/>
  <c r="C42" i="1"/>
  <c r="C41" i="1"/>
  <c r="C40" i="1"/>
  <c r="C39" i="1"/>
  <c r="C38" i="1"/>
  <c r="C35" i="1"/>
  <c r="C37" i="1"/>
  <c r="C36" i="1"/>
  <c r="C34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7" i="1"/>
  <c r="I6" i="1"/>
  <c r="I5" i="1"/>
  <c r="I4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B26" i="1"/>
  <c r="B25" i="1"/>
  <c r="B24" i="1"/>
  <c r="B23" i="1"/>
  <c r="B22" i="1"/>
  <c r="B21" i="1"/>
  <c r="B20" i="1"/>
  <c r="B19" i="1"/>
  <c r="B18" i="1"/>
  <c r="B17" i="1"/>
  <c r="B16" i="1"/>
  <c r="B14" i="1"/>
  <c r="B13" i="1"/>
  <c r="B12" i="1"/>
  <c r="B11" i="1"/>
  <c r="B10" i="1"/>
  <c r="B9" i="1"/>
  <c r="B8" i="1"/>
  <c r="B7" i="1"/>
  <c r="B6" i="1"/>
  <c r="B5" i="1"/>
  <c r="B4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<sst xmlns="http://schemas.openxmlformats.org/spreadsheetml/2006/main" count="20" uniqueCount="15">
  <si>
    <t>磁阻特性R-B曲线</t>
    <phoneticPr fontId="1" type="noConversion"/>
  </si>
  <si>
    <t>励磁电流/mA</t>
    <phoneticPr fontId="1" type="noConversion"/>
  </si>
  <si>
    <t>B</t>
    <phoneticPr fontId="1" type="noConversion"/>
  </si>
  <si>
    <t>磁阻电流/mA</t>
    <phoneticPr fontId="1" type="noConversion"/>
  </si>
  <si>
    <t>&lt;减小磁场&gt;</t>
    <phoneticPr fontId="1" type="noConversion"/>
  </si>
  <si>
    <t>磁阻两端电压</t>
    <phoneticPr fontId="1" type="noConversion"/>
  </si>
  <si>
    <t>U0*n</t>
    <phoneticPr fontId="1" type="noConversion"/>
  </si>
  <si>
    <t>电阻R/kΩ</t>
    <phoneticPr fontId="1" type="noConversion"/>
  </si>
  <si>
    <t>&lt;增大磁场&gt;</t>
    <phoneticPr fontId="1" type="noConversion"/>
  </si>
  <si>
    <t>磁阻电阻/mA</t>
    <phoneticPr fontId="1" type="noConversion"/>
  </si>
  <si>
    <t>磁电转换U-B曲线</t>
    <phoneticPr fontId="1" type="noConversion"/>
  </si>
  <si>
    <t>输出电压/mV</t>
    <phoneticPr fontId="1" type="noConversion"/>
  </si>
  <si>
    <t>齿轮角位移的测量</t>
    <phoneticPr fontId="1" type="noConversion"/>
  </si>
  <si>
    <t>实际转动角度/度</t>
    <phoneticPr fontId="1" type="noConversion"/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</si>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</sst>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GMR</a:t>
            </a:r>
            <a:r>
              <a:rPr lang="zh-CN" altLang="en-US"/>
              <a:t>梯度传感器检测齿轮位移响应曲线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Sheet1!$A$50:$A$69</c:f>
              <c:numCache>
                <c:formatCode>General</c:formatCode>
                <c:ptCount val="2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</c:numCache>
            </c:numRef>
          </c:xVal>
          <c:yVal>
            <c:numRef>
              <c:f>Sheet1!$B$50:$B$69</c:f>
              <c:numCache>
                <c:formatCode>General</c:formatCode>
                <c:ptCount val="20"/>
                <c:pt idx="0">
                  <c:v>0</c:v>
                </c:pt>
                <c:pt idx="1">
                  <c:v>-26.6</c:v>
                </c:pt>
                <c:pt idx="2">
                  <c:v>-41.8</c:v>
                </c:pt>
                <c:pt idx="3">
                  <c:v>-27.8</c:v>
                </c:pt>
                <c:pt idx="4">
                  <c:v>-6.3</c:v>
                </c:pt>
                <c:pt idx="5">
                  <c:v>18.8</c:v>
                </c:pt>
                <c:pt idx="6">
                  <c:v>36.799999999999997</c:v>
                </c:pt>
                <c:pt idx="7">
                  <c:v>34.299999999999997</c:v>
                </c:pt>
                <c:pt idx="8">
                  <c:v>7.2</c:v>
                </c:pt>
                <c:pt idx="9">
                  <c:v>-27.9</c:v>
                </c:pt>
                <c:pt idx="10">
                  <c:v>-42.1</c:v>
                </c:pt>
                <c:pt idx="11">
                  <c:v>-27.6</c:v>
                </c:pt>
                <c:pt idx="12">
                  <c:v>-6.1</c:v>
                </c:pt>
                <c:pt idx="13">
                  <c:v>13.7</c:v>
                </c:pt>
                <c:pt idx="14">
                  <c:v>32.299999999999997</c:v>
                </c:pt>
                <c:pt idx="15">
                  <c:v>37.200000000000003</c:v>
                </c:pt>
                <c:pt idx="16">
                  <c:v>6.5</c:v>
                </c:pt>
                <c:pt idx="17">
                  <c:v>-25.4</c:v>
                </c:pt>
                <c:pt idx="18">
                  <c:v>-42.9</c:v>
                </c:pt>
                <c:pt idx="19">
                  <c:v>-28.4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44-47C7-A5F4-31DF4DF32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102495"/>
        <c:axId val="1388106655"/>
      </c:scatterChart>
      <c:valAx>
        <c:axId val="138810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实际转动角度</a:t>
                </a:r>
                <a:r>
                  <a:rPr lang="en-US" altLang="zh-CN"/>
                  <a:t>//</a:t>
                </a:r>
                <a:r>
                  <a:rPr lang="zh-CN" altLang="en-US"/>
                  <a:t>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8106655"/>
        <c:crosses val="autoZero"/>
        <c:crossBetween val="midCat"/>
      </c:valAx>
      <c:valAx>
        <c:axId val="138810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输出电压</a:t>
                </a:r>
                <a:r>
                  <a:rPr lang="en-US" altLang="zh-CN"/>
                  <a:t>/mV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8102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模拟传感器</a:t>
            </a:r>
            <a:r>
              <a:rPr lang="en-US" altLang="zh-CN"/>
              <a:t>U~B</a:t>
            </a:r>
            <a:r>
              <a:rPr lang="zh-CN" altLang="en-US"/>
              <a:t>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Sheet1!$C$34:$C$45</c:f>
              <c:numCache>
                <c:formatCode>General</c:formatCode>
                <c:ptCount val="12"/>
                <c:pt idx="0">
                  <c:v>0</c:v>
                </c:pt>
                <c:pt idx="1">
                  <c:v>1.50796447368</c:v>
                </c:pt>
                <c:pt idx="2">
                  <c:v>3.0159289473599999</c:v>
                </c:pt>
                <c:pt idx="3">
                  <c:v>6.0318578947199999</c:v>
                </c:pt>
                <c:pt idx="4">
                  <c:v>9.0477868420799989</c:v>
                </c:pt>
                <c:pt idx="5">
                  <c:v>12.06371578944</c:v>
                </c:pt>
                <c:pt idx="6">
                  <c:v>15.079644736799999</c:v>
                </c:pt>
                <c:pt idx="7">
                  <c:v>18.095573684159998</c:v>
                </c:pt>
                <c:pt idx="8">
                  <c:v>21.111502631520001</c:v>
                </c:pt>
                <c:pt idx="9">
                  <c:v>24.12743157888</c:v>
                </c:pt>
                <c:pt idx="10">
                  <c:v>27.143360526239999</c:v>
                </c:pt>
                <c:pt idx="11">
                  <c:v>30.159289473599998</c:v>
                </c:pt>
              </c:numCache>
            </c:numRef>
          </c:xVal>
          <c:yVal>
            <c:numRef>
              <c:f>Sheet1!$B$34:$B$45</c:f>
              <c:numCache>
                <c:formatCode>General</c:formatCode>
                <c:ptCount val="12"/>
                <c:pt idx="0">
                  <c:v>10.3</c:v>
                </c:pt>
                <c:pt idx="1">
                  <c:v>25.6</c:v>
                </c:pt>
                <c:pt idx="2">
                  <c:v>41.4</c:v>
                </c:pt>
                <c:pt idx="3">
                  <c:v>80.8</c:v>
                </c:pt>
                <c:pt idx="4">
                  <c:v>121.8</c:v>
                </c:pt>
                <c:pt idx="5">
                  <c:v>163.4</c:v>
                </c:pt>
                <c:pt idx="6">
                  <c:v>203</c:v>
                </c:pt>
                <c:pt idx="7">
                  <c:v>230</c:v>
                </c:pt>
                <c:pt idx="8">
                  <c:v>239</c:v>
                </c:pt>
                <c:pt idx="9">
                  <c:v>241</c:v>
                </c:pt>
                <c:pt idx="10">
                  <c:v>242</c:v>
                </c:pt>
                <c:pt idx="11">
                  <c:v>243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11-48C1-8742-96037398F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107071"/>
        <c:axId val="1388095839"/>
      </c:scatterChart>
      <c:valAx>
        <c:axId val="138810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B/Gs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8095839"/>
        <c:crosses val="autoZero"/>
        <c:crossBetween val="midCat"/>
      </c:valAx>
      <c:valAx>
        <c:axId val="138809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U/mV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8107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R~B</a:t>
            </a:r>
            <a:r>
              <a:rPr lang="zh-CN" altLang="en-US"/>
              <a:t>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减小磁场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Sheet1!$B$4:$B$26</c:f>
              <c:numCache>
                <c:formatCode>General</c:formatCode>
                <c:ptCount val="23"/>
                <c:pt idx="0">
                  <c:v>30.159289473599998</c:v>
                </c:pt>
                <c:pt idx="1">
                  <c:v>27.143360526239999</c:v>
                </c:pt>
                <c:pt idx="2">
                  <c:v>24.12743157888</c:v>
                </c:pt>
                <c:pt idx="3">
                  <c:v>21.111502631520001</c:v>
                </c:pt>
                <c:pt idx="4">
                  <c:v>18.095573684159998</c:v>
                </c:pt>
                <c:pt idx="5">
                  <c:v>15.079644736799999</c:v>
                </c:pt>
                <c:pt idx="6">
                  <c:v>12.06371578944</c:v>
                </c:pt>
                <c:pt idx="7">
                  <c:v>9.0477868420799989</c:v>
                </c:pt>
                <c:pt idx="8">
                  <c:v>6.0318578947199999</c:v>
                </c:pt>
                <c:pt idx="9">
                  <c:v>3.0159289473599999</c:v>
                </c:pt>
                <c:pt idx="10">
                  <c:v>1.50796447368</c:v>
                </c:pt>
                <c:pt idx="11">
                  <c:v>0</c:v>
                </c:pt>
                <c:pt idx="12">
                  <c:v>-1.50796447368</c:v>
                </c:pt>
                <c:pt idx="13">
                  <c:v>-3.0159289473599999</c:v>
                </c:pt>
                <c:pt idx="14">
                  <c:v>-6.0318578947199999</c:v>
                </c:pt>
                <c:pt idx="15">
                  <c:v>-9.0477868420799989</c:v>
                </c:pt>
                <c:pt idx="16">
                  <c:v>-12.06371578944</c:v>
                </c:pt>
                <c:pt idx="17">
                  <c:v>-15.079644736799999</c:v>
                </c:pt>
                <c:pt idx="18">
                  <c:v>-18.095573684159998</c:v>
                </c:pt>
                <c:pt idx="19">
                  <c:v>-21.111502631520001</c:v>
                </c:pt>
                <c:pt idx="20">
                  <c:v>-24.12743157888</c:v>
                </c:pt>
                <c:pt idx="21">
                  <c:v>-27.143360526239999</c:v>
                </c:pt>
                <c:pt idx="22">
                  <c:v>-30.159289473599998</c:v>
                </c:pt>
              </c:numCache>
            </c:numRef>
          </c:xVal>
          <c:yVal>
            <c:numRef>
              <c:f>Sheet1!$D$4:$D$26</c:f>
              <c:numCache>
                <c:formatCode>General</c:formatCode>
                <c:ptCount val="23"/>
                <c:pt idx="0">
                  <c:v>1.9801980198019802</c:v>
                </c:pt>
                <c:pt idx="1">
                  <c:v>1.9801980198019802</c:v>
                </c:pt>
                <c:pt idx="2">
                  <c:v>1.9801980198019802</c:v>
                </c:pt>
                <c:pt idx="3">
                  <c:v>1.9801980198019802</c:v>
                </c:pt>
                <c:pt idx="4">
                  <c:v>1.9900497512437814</c:v>
                </c:pt>
                <c:pt idx="5">
                  <c:v>2.0202020202020203</c:v>
                </c:pt>
                <c:pt idx="6">
                  <c:v>2.061855670103093</c:v>
                </c:pt>
                <c:pt idx="7">
                  <c:v>2.1052631578947367</c:v>
                </c:pt>
                <c:pt idx="8">
                  <c:v>2.150537634408602</c:v>
                </c:pt>
                <c:pt idx="9">
                  <c:v>2.1978021978021975</c:v>
                </c:pt>
                <c:pt idx="10">
                  <c:v>2.2099447513812156</c:v>
                </c:pt>
                <c:pt idx="11">
                  <c:v>2.2346368715083798</c:v>
                </c:pt>
                <c:pt idx="12">
                  <c:v>2.2222222222222223</c:v>
                </c:pt>
                <c:pt idx="13">
                  <c:v>2.1978021978021975</c:v>
                </c:pt>
                <c:pt idx="14">
                  <c:v>2.150537634408602</c:v>
                </c:pt>
                <c:pt idx="15">
                  <c:v>2.1052631578947367</c:v>
                </c:pt>
                <c:pt idx="16">
                  <c:v>2.061855670103093</c:v>
                </c:pt>
                <c:pt idx="17">
                  <c:v>2.0202020202020203</c:v>
                </c:pt>
                <c:pt idx="18">
                  <c:v>1.9900497512437814</c:v>
                </c:pt>
                <c:pt idx="19">
                  <c:v>1.9801980198019802</c:v>
                </c:pt>
                <c:pt idx="20">
                  <c:v>1.9801980198019802</c:v>
                </c:pt>
                <c:pt idx="21">
                  <c:v>1.9801980198019802</c:v>
                </c:pt>
                <c:pt idx="22">
                  <c:v>1.9801980198019802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94-4B8B-A658-D511F085C4C7}"/>
            </c:ext>
          </c:extLst>
        </c:ser>
        <c:ser>
          <c:idx val="1"/>
          <c:order val="1"/>
          <c:tx>
            <c:v>增大磁场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Sheet1!$G$4:$G$26</c:f>
              <c:numCache>
                <c:formatCode>General</c:formatCode>
                <c:ptCount val="23"/>
                <c:pt idx="0">
                  <c:v>-30.159289473599998</c:v>
                </c:pt>
                <c:pt idx="1">
                  <c:v>-27.143360526239999</c:v>
                </c:pt>
                <c:pt idx="2">
                  <c:v>-24.12743157888</c:v>
                </c:pt>
                <c:pt idx="3">
                  <c:v>-21.111502631520001</c:v>
                </c:pt>
                <c:pt idx="4">
                  <c:v>-18.095573684159998</c:v>
                </c:pt>
                <c:pt idx="5">
                  <c:v>-15.079644736799999</c:v>
                </c:pt>
                <c:pt idx="6">
                  <c:v>-12.06371578944</c:v>
                </c:pt>
                <c:pt idx="7">
                  <c:v>-9.0477868420799989</c:v>
                </c:pt>
                <c:pt idx="8">
                  <c:v>-6.0318578947199999</c:v>
                </c:pt>
                <c:pt idx="9">
                  <c:v>-3.0159289473599999</c:v>
                </c:pt>
                <c:pt idx="10">
                  <c:v>-1.50796447368</c:v>
                </c:pt>
                <c:pt idx="11">
                  <c:v>0</c:v>
                </c:pt>
                <c:pt idx="12">
                  <c:v>1.50796447368</c:v>
                </c:pt>
                <c:pt idx="13">
                  <c:v>3.0159289473599999</c:v>
                </c:pt>
                <c:pt idx="14">
                  <c:v>6.0318578947199999</c:v>
                </c:pt>
                <c:pt idx="15">
                  <c:v>9.0477868420799989</c:v>
                </c:pt>
                <c:pt idx="16">
                  <c:v>12.06371578944</c:v>
                </c:pt>
                <c:pt idx="17">
                  <c:v>15.079644736799999</c:v>
                </c:pt>
                <c:pt idx="18">
                  <c:v>18.095573684159998</c:v>
                </c:pt>
                <c:pt idx="19">
                  <c:v>21.111502631520001</c:v>
                </c:pt>
                <c:pt idx="20">
                  <c:v>24.12743157888</c:v>
                </c:pt>
                <c:pt idx="21">
                  <c:v>27.143360526239999</c:v>
                </c:pt>
                <c:pt idx="22">
                  <c:v>30.159289473599998</c:v>
                </c:pt>
              </c:numCache>
            </c:numRef>
          </c:xVal>
          <c:yVal>
            <c:numRef>
              <c:f>Sheet1!$I$4:$I$26</c:f>
              <c:numCache>
                <c:formatCode>General</c:formatCode>
                <c:ptCount val="23"/>
                <c:pt idx="0">
                  <c:v>1.9801980198019802</c:v>
                </c:pt>
                <c:pt idx="1">
                  <c:v>1.9801980198019802</c:v>
                </c:pt>
                <c:pt idx="2">
                  <c:v>1.9801980198019802</c:v>
                </c:pt>
                <c:pt idx="3">
                  <c:v>1.9801980198019802</c:v>
                </c:pt>
                <c:pt idx="4">
                  <c:v>2</c:v>
                </c:pt>
                <c:pt idx="5">
                  <c:v>2.0202020202020203</c:v>
                </c:pt>
                <c:pt idx="6">
                  <c:v>2.061855670103093</c:v>
                </c:pt>
                <c:pt idx="7">
                  <c:v>2.1052631578947367</c:v>
                </c:pt>
                <c:pt idx="8">
                  <c:v>2.150537634408602</c:v>
                </c:pt>
                <c:pt idx="9">
                  <c:v>2.1978021978021975</c:v>
                </c:pt>
                <c:pt idx="10">
                  <c:v>2.2222222222222223</c:v>
                </c:pt>
                <c:pt idx="11">
                  <c:v>2.2346368715083798</c:v>
                </c:pt>
                <c:pt idx="12">
                  <c:v>2.2222222222222223</c:v>
                </c:pt>
                <c:pt idx="13">
                  <c:v>2.1978021978021975</c:v>
                </c:pt>
                <c:pt idx="14">
                  <c:v>2.150537634408602</c:v>
                </c:pt>
                <c:pt idx="15">
                  <c:v>2.1052631578947367</c:v>
                </c:pt>
                <c:pt idx="16">
                  <c:v>2.061855670103093</c:v>
                </c:pt>
                <c:pt idx="17">
                  <c:v>2.0202020202020203</c:v>
                </c:pt>
                <c:pt idx="18">
                  <c:v>1.9900497512437814</c:v>
                </c:pt>
                <c:pt idx="19">
                  <c:v>1.9900497512437814</c:v>
                </c:pt>
                <c:pt idx="20">
                  <c:v>1.9801980198019802</c:v>
                </c:pt>
                <c:pt idx="21">
                  <c:v>1.9801980198019802</c:v>
                </c:pt>
                <c:pt idx="22">
                  <c:v>1.9801980198019802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094-4B8B-A658-D511F085C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219375"/>
        <c:axId val="1250219791"/>
      </c:scatterChart>
      <c:valAx>
        <c:axId val="1250219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B/Gs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0219791"/>
        <c:crosses val="autoZero"/>
        <c:crossBetween val="midCat"/>
      </c:valAx>
      <c:valAx>
        <c:axId val="125021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R/kΩ</a:t>
                </a:r>
              </a:p>
              <a:p>
                <a:pPr>
                  <a:defRPr/>
                </a:pP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0219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490256</xdr:colOff>
      <xdr:row>54</xdr:row>
      <xdr:rowOff>59950</xdr:rowOff>
    </xdr:from>
    <xdr:to>
      <xdr:col>14</xdr:col>
      <xdr:colOff>383799</xdr:colOff>
      <xdr:row>70</xdr:row>
      <xdr:rowOff>24092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E121ED0-0F7F-4C46-91F3-B22717AF65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120462</xdr:colOff>
      <xdr:row>29</xdr:row>
      <xdr:rowOff>20731</xdr:rowOff>
    </xdr:from>
    <xdr:to>
      <xdr:col>15</xdr:col>
      <xdr:colOff>490256</xdr:colOff>
      <xdr:row>44</xdr:row>
      <xdr:rowOff>46504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5F0F557-0C73-4275-8A9D-A1DFAD7C88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198903</xdr:colOff>
      <xdr:row>7</xdr:row>
      <xdr:rowOff>93569</xdr:rowOff>
    </xdr:from>
    <xdr:to>
      <xdr:col>20</xdr:col>
      <xdr:colOff>221315</xdr:colOff>
      <xdr:row>23</xdr:row>
      <xdr:rowOff>57710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F23219D2-12B6-4EB2-9B90-2AB9CEC1A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BC2EB-5122-4D7B-B0B5-4320F390E670}">
  <dimension ref="A1:I103"/>
  <sheetViews>
    <sheetView tabSelected="1" topLeftCell="A58" zoomScale="85" zoomScaleNormal="85" workbookViewId="0">
      <selection activeCell="S52" sqref="S52"/>
    </sheetView>
  </sheetViews>
  <sheetFormatPr defaultRowHeight="13.9" x14ac:dyDescent="0.4"/>
  <cols>
    <col min="1" max="1" width="14.46484375" customWidth="1"/>
    <col min="2" max="2" width="11.9296875" customWidth="1"/>
    <col min="3" max="3" width="10.3984375" customWidth="1"/>
    <col min="4" max="4" width="5.46484375" customWidth="1"/>
    <col min="5" max="5" width="5.265625" customWidth="1"/>
    <col min="6" max="6" width="9.33203125" customWidth="1"/>
    <col min="7" max="7" width="6.3984375" customWidth="1"/>
    <col min="8" max="8" width="6.265625" customWidth="1"/>
    <col min="9" max="9" width="9.1328125" customWidth="1"/>
    <col min="10" max="10" width="6.59765625" customWidth="1"/>
    <col min="11" max="11" width="5.796875" customWidth="1"/>
    <col min="12" max="12" width="6.46484375" customWidth="1"/>
    <col min="13" max="13" width="6.3984375" customWidth="1"/>
  </cols>
  <sheetData>
    <row r="1" spans="1:9" ht="20.25" x14ac:dyDescent="0.4">
      <c r="A1" s="1" t="s">
        <v>0</v>
      </c>
      <c r="B1" t="s">
        <v>5</v>
      </c>
      <c r="C1" t="s">
        <v>6</v>
      </c>
    </row>
    <row r="2" spans="1:9" x14ac:dyDescent="0.4">
      <c r="A2" t="s">
        <v>4</v>
      </c>
      <c r="B2">
        <v>4</v>
      </c>
      <c r="C2">
        <v>0.30159289473599998</v>
      </c>
      <c r="F2" t="s">
        <v>8</v>
      </c>
    </row>
    <row r="3" spans="1:9" x14ac:dyDescent="0.4">
      <c r="A3" t="s">
        <v>1</v>
      </c>
      <c r="B3" t="s">
        <v>2</v>
      </c>
      <c r="C3" t="s">
        <v>3</v>
      </c>
      <c r="D3" t="s">
        <v>7</v>
      </c>
      <c r="F3" t="s">
        <v>1</v>
      </c>
      <c r="G3" t="s">
        <v>2</v>
      </c>
      <c r="H3" t="s">
        <v>9</v>
      </c>
      <c r="I3" t="s">
        <v>7</v>
      </c>
    </row>
    <row r="4" spans="1:9" x14ac:dyDescent="0.4">
      <c r="A4">
        <v>100</v>
      </c>
      <c r="B4">
        <f>C2*A4</f>
        <v>30.159289473599998</v>
      </c>
      <c r="C4">
        <v>2.02</v>
      </c>
      <c r="D4">
        <f>B2/C4</f>
        <v>1.9801980198019802</v>
      </c>
      <c r="F4">
        <v>-100</v>
      </c>
      <c r="G4">
        <f>F4*C2</f>
        <v>-30.159289473599998</v>
      </c>
      <c r="H4">
        <v>2.02</v>
      </c>
      <c r="I4">
        <f>B2/H4</f>
        <v>1.9801980198019802</v>
      </c>
    </row>
    <row r="5" spans="1:9" x14ac:dyDescent="0.4">
      <c r="A5">
        <v>90</v>
      </c>
      <c r="B5">
        <f>A5*C2</f>
        <v>27.143360526239999</v>
      </c>
      <c r="C5">
        <v>2.02</v>
      </c>
      <c r="D5">
        <f>B2/C5</f>
        <v>1.9801980198019802</v>
      </c>
      <c r="F5">
        <v>-90</v>
      </c>
      <c r="G5">
        <f>F5*C2</f>
        <v>-27.143360526239999</v>
      </c>
      <c r="H5">
        <v>2.02</v>
      </c>
      <c r="I5">
        <f>B2/H5</f>
        <v>1.9801980198019802</v>
      </c>
    </row>
    <row r="6" spans="1:9" x14ac:dyDescent="0.4">
      <c r="A6">
        <v>80</v>
      </c>
      <c r="B6">
        <f>A6*C2</f>
        <v>24.12743157888</v>
      </c>
      <c r="C6">
        <v>2.02</v>
      </c>
      <c r="D6">
        <f>B2/C6</f>
        <v>1.9801980198019802</v>
      </c>
      <c r="F6">
        <v>-80</v>
      </c>
      <c r="G6">
        <f>F6*C2</f>
        <v>-24.12743157888</v>
      </c>
      <c r="H6">
        <v>2.02</v>
      </c>
      <c r="I6">
        <f>B2/H6</f>
        <v>1.9801980198019802</v>
      </c>
    </row>
    <row r="7" spans="1:9" x14ac:dyDescent="0.4">
      <c r="A7">
        <v>70</v>
      </c>
      <c r="B7">
        <f>A7*C2</f>
        <v>21.111502631520001</v>
      </c>
      <c r="C7">
        <v>2.02</v>
      </c>
      <c r="D7">
        <f>B2/C7</f>
        <v>1.9801980198019802</v>
      </c>
      <c r="F7">
        <v>-70</v>
      </c>
      <c r="G7">
        <f>F7*C2</f>
        <v>-21.111502631520001</v>
      </c>
      <c r="H7">
        <v>2.02</v>
      </c>
      <c r="I7">
        <f>B2/H7</f>
        <v>1.9801980198019802</v>
      </c>
    </row>
    <row r="8" spans="1:9" x14ac:dyDescent="0.4">
      <c r="A8">
        <v>60</v>
      </c>
      <c r="B8">
        <f>A8*C2</f>
        <v>18.095573684159998</v>
      </c>
      <c r="C8">
        <v>2.0099999999999998</v>
      </c>
      <c r="D8">
        <f>B2/C8</f>
        <v>1.9900497512437814</v>
      </c>
      <c r="F8">
        <v>-60</v>
      </c>
      <c r="G8">
        <f>F8*C2</f>
        <v>-18.095573684159998</v>
      </c>
      <c r="H8">
        <v>2.0099999999999998</v>
      </c>
      <c r="I8">
        <v>2</v>
      </c>
    </row>
    <row r="9" spans="1:9" x14ac:dyDescent="0.4">
      <c r="A9">
        <v>50</v>
      </c>
      <c r="B9">
        <f>A9*C2</f>
        <v>15.079644736799999</v>
      </c>
      <c r="C9">
        <v>1.98</v>
      </c>
      <c r="D9">
        <f>B2/C9</f>
        <v>2.0202020202020203</v>
      </c>
      <c r="F9">
        <v>-50</v>
      </c>
      <c r="G9">
        <f>F9*C2</f>
        <v>-15.079644736799999</v>
      </c>
      <c r="H9">
        <v>1.98</v>
      </c>
      <c r="I9">
        <f>B2/H9</f>
        <v>2.0202020202020203</v>
      </c>
    </row>
    <row r="10" spans="1:9" x14ac:dyDescent="0.4">
      <c r="A10">
        <v>40</v>
      </c>
      <c r="B10">
        <f>A10*C2</f>
        <v>12.06371578944</v>
      </c>
      <c r="C10">
        <v>1.94</v>
      </c>
      <c r="D10">
        <f>B2/C10</f>
        <v>2.061855670103093</v>
      </c>
      <c r="F10">
        <v>-40</v>
      </c>
      <c r="G10">
        <f>F10*C2</f>
        <v>-12.06371578944</v>
      </c>
      <c r="H10">
        <v>1.94</v>
      </c>
      <c r="I10">
        <f>B2/H10</f>
        <v>2.061855670103093</v>
      </c>
    </row>
    <row r="11" spans="1:9" x14ac:dyDescent="0.4">
      <c r="A11">
        <v>30</v>
      </c>
      <c r="B11">
        <f>A11*C2</f>
        <v>9.0477868420799989</v>
      </c>
      <c r="C11">
        <v>1.9</v>
      </c>
      <c r="D11">
        <f>B2/C11</f>
        <v>2.1052631578947367</v>
      </c>
      <c r="F11">
        <v>-30</v>
      </c>
      <c r="G11">
        <f>F11*C2</f>
        <v>-9.0477868420799989</v>
      </c>
      <c r="H11">
        <v>1.9</v>
      </c>
      <c r="I11">
        <f>B2/H11</f>
        <v>2.1052631578947367</v>
      </c>
    </row>
    <row r="12" spans="1:9" x14ac:dyDescent="0.4">
      <c r="A12">
        <v>20</v>
      </c>
      <c r="B12">
        <f>A12*C2</f>
        <v>6.0318578947199999</v>
      </c>
      <c r="C12">
        <v>1.86</v>
      </c>
      <c r="D12">
        <f>B2/C12</f>
        <v>2.150537634408602</v>
      </c>
      <c r="F12">
        <v>-20</v>
      </c>
      <c r="G12">
        <f>F12*C2</f>
        <v>-6.0318578947199999</v>
      </c>
      <c r="H12">
        <v>1.86</v>
      </c>
      <c r="I12">
        <f>B2/H12</f>
        <v>2.150537634408602</v>
      </c>
    </row>
    <row r="13" spans="1:9" x14ac:dyDescent="0.4">
      <c r="A13">
        <v>10</v>
      </c>
      <c r="B13">
        <f>A13*C2</f>
        <v>3.0159289473599999</v>
      </c>
      <c r="C13">
        <v>1.82</v>
      </c>
      <c r="D13">
        <f>B2/C13</f>
        <v>2.1978021978021975</v>
      </c>
      <c r="F13">
        <v>-10</v>
      </c>
      <c r="G13">
        <f>F13*C2</f>
        <v>-3.0159289473599999</v>
      </c>
      <c r="H13">
        <v>1.82</v>
      </c>
      <c r="I13">
        <f>B2/H13</f>
        <v>2.1978021978021975</v>
      </c>
    </row>
    <row r="14" spans="1:9" x14ac:dyDescent="0.4">
      <c r="A14">
        <v>5</v>
      </c>
      <c r="B14">
        <f>A14*C2</f>
        <v>1.50796447368</v>
      </c>
      <c r="C14">
        <v>1.81</v>
      </c>
      <c r="D14">
        <f>B2/C14</f>
        <v>2.2099447513812156</v>
      </c>
      <c r="F14">
        <v>-5</v>
      </c>
      <c r="G14">
        <f>F14*C2</f>
        <v>-1.50796447368</v>
      </c>
      <c r="H14">
        <v>1.8</v>
      </c>
      <c r="I14">
        <f>B2/H14</f>
        <v>2.2222222222222223</v>
      </c>
    </row>
    <row r="15" spans="1:9" x14ac:dyDescent="0.4">
      <c r="A15">
        <v>0</v>
      </c>
      <c r="B15">
        <v>0</v>
      </c>
      <c r="C15">
        <v>1.79</v>
      </c>
      <c r="D15">
        <f>B2/C15</f>
        <v>2.2346368715083798</v>
      </c>
      <c r="F15">
        <v>0</v>
      </c>
      <c r="G15">
        <f>0</f>
        <v>0</v>
      </c>
      <c r="H15">
        <v>1.79</v>
      </c>
      <c r="I15">
        <f>B2/H15</f>
        <v>2.2346368715083798</v>
      </c>
    </row>
    <row r="16" spans="1:9" x14ac:dyDescent="0.4">
      <c r="A16">
        <v>-5</v>
      </c>
      <c r="B16">
        <f>A16*C2</f>
        <v>-1.50796447368</v>
      </c>
      <c r="C16">
        <v>1.8</v>
      </c>
      <c r="D16">
        <f>B2/C16</f>
        <v>2.2222222222222223</v>
      </c>
      <c r="F16">
        <v>5</v>
      </c>
      <c r="G16">
        <f>F16*C2</f>
        <v>1.50796447368</v>
      </c>
      <c r="H16">
        <v>1.8</v>
      </c>
      <c r="I16">
        <f>B2/H16</f>
        <v>2.2222222222222223</v>
      </c>
    </row>
    <row r="17" spans="1:9" x14ac:dyDescent="0.4">
      <c r="A17">
        <v>-10</v>
      </c>
      <c r="B17">
        <f>A17*C2</f>
        <v>-3.0159289473599999</v>
      </c>
      <c r="C17">
        <v>1.82</v>
      </c>
      <c r="D17">
        <f>B2/C17</f>
        <v>2.1978021978021975</v>
      </c>
      <c r="F17">
        <v>10</v>
      </c>
      <c r="G17">
        <f>F17*C2</f>
        <v>3.0159289473599999</v>
      </c>
      <c r="H17">
        <v>1.82</v>
      </c>
      <c r="I17">
        <f>B2/H17</f>
        <v>2.1978021978021975</v>
      </c>
    </row>
    <row r="18" spans="1:9" x14ac:dyDescent="0.4">
      <c r="A18">
        <v>-20</v>
      </c>
      <c r="B18">
        <f>A18*C2</f>
        <v>-6.0318578947199999</v>
      </c>
      <c r="C18">
        <v>1.86</v>
      </c>
      <c r="D18">
        <f>B2/C18</f>
        <v>2.150537634408602</v>
      </c>
      <c r="F18">
        <v>20</v>
      </c>
      <c r="G18">
        <f>F18*C2</f>
        <v>6.0318578947199999</v>
      </c>
      <c r="H18">
        <v>1.86</v>
      </c>
      <c r="I18">
        <f>B2/H18</f>
        <v>2.150537634408602</v>
      </c>
    </row>
    <row r="19" spans="1:9" x14ac:dyDescent="0.4">
      <c r="A19">
        <v>-30</v>
      </c>
      <c r="B19">
        <f>A19*C2</f>
        <v>-9.0477868420799989</v>
      </c>
      <c r="C19">
        <v>1.9</v>
      </c>
      <c r="D19">
        <f>B2/C19</f>
        <v>2.1052631578947367</v>
      </c>
      <c r="F19">
        <v>30</v>
      </c>
      <c r="G19">
        <f>F19*C2</f>
        <v>9.0477868420799989</v>
      </c>
      <c r="H19">
        <v>1.9</v>
      </c>
      <c r="I19">
        <f>B2/H19</f>
        <v>2.1052631578947367</v>
      </c>
    </row>
    <row r="20" spans="1:9" x14ac:dyDescent="0.4">
      <c r="A20">
        <v>-40</v>
      </c>
      <c r="B20">
        <f>A20*C2</f>
        <v>-12.06371578944</v>
      </c>
      <c r="C20">
        <v>1.94</v>
      </c>
      <c r="D20">
        <f>B2/C20</f>
        <v>2.061855670103093</v>
      </c>
      <c r="F20">
        <v>40</v>
      </c>
      <c r="G20">
        <f>F20*C2</f>
        <v>12.06371578944</v>
      </c>
      <c r="H20">
        <v>1.94</v>
      </c>
      <c r="I20">
        <f>B2/H20</f>
        <v>2.061855670103093</v>
      </c>
    </row>
    <row r="21" spans="1:9" x14ac:dyDescent="0.4">
      <c r="A21">
        <v>-50</v>
      </c>
      <c r="B21">
        <f>A21*C2</f>
        <v>-15.079644736799999</v>
      </c>
      <c r="C21">
        <v>1.98</v>
      </c>
      <c r="D21">
        <f>B2/C21</f>
        <v>2.0202020202020203</v>
      </c>
      <c r="F21">
        <v>50</v>
      </c>
      <c r="G21">
        <f>F21*C2</f>
        <v>15.079644736799999</v>
      </c>
      <c r="H21">
        <v>1.98</v>
      </c>
      <c r="I21">
        <f>B2/H21</f>
        <v>2.0202020202020203</v>
      </c>
    </row>
    <row r="22" spans="1:9" x14ac:dyDescent="0.4">
      <c r="A22">
        <v>-60</v>
      </c>
      <c r="B22">
        <f>A22*C2</f>
        <v>-18.095573684159998</v>
      </c>
      <c r="C22">
        <v>2.0099999999999998</v>
      </c>
      <c r="D22">
        <f>B2/C22</f>
        <v>1.9900497512437814</v>
      </c>
      <c r="F22">
        <v>60</v>
      </c>
      <c r="G22">
        <f>F22*C2</f>
        <v>18.095573684159998</v>
      </c>
      <c r="H22">
        <v>2.0099999999999998</v>
      </c>
      <c r="I22">
        <f>B2/H22</f>
        <v>1.9900497512437814</v>
      </c>
    </row>
    <row r="23" spans="1:9" x14ac:dyDescent="0.4">
      <c r="A23">
        <v>-70</v>
      </c>
      <c r="B23">
        <f>A23*C2</f>
        <v>-21.111502631520001</v>
      </c>
      <c r="C23">
        <v>2.02</v>
      </c>
      <c r="D23">
        <f>B2/C23</f>
        <v>1.9801980198019802</v>
      </c>
      <c r="F23">
        <v>70</v>
      </c>
      <c r="G23">
        <f>F23*C2</f>
        <v>21.111502631520001</v>
      </c>
      <c r="H23">
        <v>2.0099999999999998</v>
      </c>
      <c r="I23">
        <f>B2/H23</f>
        <v>1.9900497512437814</v>
      </c>
    </row>
    <row r="24" spans="1:9" x14ac:dyDescent="0.4">
      <c r="A24">
        <v>-80</v>
      </c>
      <c r="B24">
        <f>A24*C2</f>
        <v>-24.12743157888</v>
      </c>
      <c r="C24">
        <v>2.02</v>
      </c>
      <c r="D24">
        <f>B2/C24</f>
        <v>1.9801980198019802</v>
      </c>
      <c r="F24">
        <v>80</v>
      </c>
      <c r="G24">
        <f>F24*C2</f>
        <v>24.12743157888</v>
      </c>
      <c r="H24">
        <v>2.02</v>
      </c>
      <c r="I24">
        <f>B2/H24</f>
        <v>1.9801980198019802</v>
      </c>
    </row>
    <row r="25" spans="1:9" x14ac:dyDescent="0.4">
      <c r="A25">
        <v>-90</v>
      </c>
      <c r="B25">
        <f>A25*C2</f>
        <v>-27.143360526239999</v>
      </c>
      <c r="C25">
        <v>2.02</v>
      </c>
      <c r="D25">
        <f>B2/C25</f>
        <v>1.9801980198019802</v>
      </c>
      <c r="F25">
        <v>90</v>
      </c>
      <c r="G25">
        <f>F25*C2</f>
        <v>27.143360526239999</v>
      </c>
      <c r="H25">
        <v>2.02</v>
      </c>
      <c r="I25">
        <f>B2/H25</f>
        <v>1.9801980198019802</v>
      </c>
    </row>
    <row r="26" spans="1:9" x14ac:dyDescent="0.4">
      <c r="A26">
        <v>-100</v>
      </c>
      <c r="B26">
        <f>A26*C2</f>
        <v>-30.159289473599998</v>
      </c>
      <c r="C26">
        <v>2.02</v>
      </c>
      <c r="D26">
        <f>B2/C26</f>
        <v>1.9801980198019802</v>
      </c>
      <c r="F26">
        <v>100</v>
      </c>
      <c r="G26">
        <f>F26*C2</f>
        <v>30.159289473599998</v>
      </c>
      <c r="H26">
        <v>2.02</v>
      </c>
      <c r="I26">
        <f>B2/H26</f>
        <v>1.9801980198019802</v>
      </c>
    </row>
    <row r="32" spans="1:9" ht="22.5" x14ac:dyDescent="0.4">
      <c r="A32" s="2" t="s">
        <v>10</v>
      </c>
      <c r="E32">
        <v>0.30159289473599998</v>
      </c>
    </row>
    <row r="33" spans="1:3" x14ac:dyDescent="0.4">
      <c r="A33" t="s">
        <v>1</v>
      </c>
      <c r="B33" t="s">
        <v>11</v>
      </c>
      <c r="C33" s="3" t="s">
        <v>14</v>
      </c>
    </row>
    <row r="34" spans="1:3" x14ac:dyDescent="0.4">
      <c r="A34">
        <v>0</v>
      </c>
      <c r="B34">
        <v>10.3</v>
      </c>
      <c r="C34">
        <f>A34*C2</f>
        <v>0</v>
      </c>
    </row>
    <row r="35" spans="1:3" x14ac:dyDescent="0.4">
      <c r="A35">
        <v>5</v>
      </c>
      <c r="B35">
        <v>25.6</v>
      </c>
      <c r="C35">
        <f>A35*E32</f>
        <v>1.50796447368</v>
      </c>
    </row>
    <row r="36" spans="1:3" x14ac:dyDescent="0.4">
      <c r="A36">
        <v>10</v>
      </c>
      <c r="B36">
        <v>41.4</v>
      </c>
      <c r="C36">
        <f>A36*E32</f>
        <v>3.0159289473599999</v>
      </c>
    </row>
    <row r="37" spans="1:3" x14ac:dyDescent="0.4">
      <c r="A37">
        <v>20</v>
      </c>
      <c r="B37">
        <v>80.8</v>
      </c>
      <c r="C37">
        <f>A37*E32</f>
        <v>6.0318578947199999</v>
      </c>
    </row>
    <row r="38" spans="1:3" x14ac:dyDescent="0.4">
      <c r="A38">
        <v>30</v>
      </c>
      <c r="B38">
        <v>121.8</v>
      </c>
      <c r="C38">
        <f>A38*E32</f>
        <v>9.0477868420799989</v>
      </c>
    </row>
    <row r="39" spans="1:3" x14ac:dyDescent="0.4">
      <c r="A39">
        <v>40</v>
      </c>
      <c r="B39">
        <v>163.4</v>
      </c>
      <c r="C39">
        <f>A39*E32</f>
        <v>12.06371578944</v>
      </c>
    </row>
    <row r="40" spans="1:3" x14ac:dyDescent="0.4">
      <c r="A40">
        <v>50</v>
      </c>
      <c r="B40">
        <v>203</v>
      </c>
      <c r="C40">
        <f>A40*E32</f>
        <v>15.079644736799999</v>
      </c>
    </row>
    <row r="41" spans="1:3" x14ac:dyDescent="0.4">
      <c r="A41">
        <v>60</v>
      </c>
      <c r="B41">
        <v>230</v>
      </c>
      <c r="C41">
        <f>A41*E32</f>
        <v>18.095573684159998</v>
      </c>
    </row>
    <row r="42" spans="1:3" x14ac:dyDescent="0.4">
      <c r="A42">
        <v>70</v>
      </c>
      <c r="B42">
        <v>239</v>
      </c>
      <c r="C42">
        <f>A42*E32</f>
        <v>21.111502631520001</v>
      </c>
    </row>
    <row r="43" spans="1:3" x14ac:dyDescent="0.4">
      <c r="A43">
        <v>80</v>
      </c>
      <c r="B43">
        <v>241</v>
      </c>
      <c r="C43">
        <f>A43*E32</f>
        <v>24.12743157888</v>
      </c>
    </row>
    <row r="44" spans="1:3" x14ac:dyDescent="0.4">
      <c r="A44">
        <v>90</v>
      </c>
      <c r="B44">
        <v>242</v>
      </c>
      <c r="C44">
        <f>A44*E32</f>
        <v>27.143360526239999</v>
      </c>
    </row>
    <row r="45" spans="1:3" x14ac:dyDescent="0.4">
      <c r="A45">
        <v>100</v>
      </c>
      <c r="B45">
        <v>243</v>
      </c>
      <c r="C45">
        <f>A45*E32</f>
        <v>30.159289473599998</v>
      </c>
    </row>
    <row r="48" spans="1:3" ht="20.25" x14ac:dyDescent="0.4">
      <c r="A48" s="1" t="s">
        <v>12</v>
      </c>
    </row>
    <row r="49" spans="1:2" x14ac:dyDescent="0.4">
      <c r="A49" t="s">
        <v>13</v>
      </c>
      <c r="B49" t="s">
        <v>11</v>
      </c>
    </row>
    <row r="50" spans="1:2" x14ac:dyDescent="0.4">
      <c r="A50">
        <v>0</v>
      </c>
      <c r="B50">
        <v>0</v>
      </c>
    </row>
    <row r="51" spans="1:2" x14ac:dyDescent="0.4">
      <c r="A51">
        <v>3</v>
      </c>
      <c r="B51">
        <v>-26.6</v>
      </c>
    </row>
    <row r="52" spans="1:2" x14ac:dyDescent="0.4">
      <c r="A52">
        <v>6</v>
      </c>
      <c r="B52">
        <v>-41.8</v>
      </c>
    </row>
    <row r="53" spans="1:2" x14ac:dyDescent="0.4">
      <c r="A53">
        <v>9</v>
      </c>
      <c r="B53">
        <v>-27.8</v>
      </c>
    </row>
    <row r="54" spans="1:2" x14ac:dyDescent="0.4">
      <c r="A54">
        <v>12</v>
      </c>
      <c r="B54">
        <v>-6.3</v>
      </c>
    </row>
    <row r="55" spans="1:2" x14ac:dyDescent="0.4">
      <c r="A55">
        <v>15</v>
      </c>
      <c r="B55">
        <v>18.8</v>
      </c>
    </row>
    <row r="56" spans="1:2" x14ac:dyDescent="0.4">
      <c r="A56">
        <v>18</v>
      </c>
      <c r="B56">
        <v>36.799999999999997</v>
      </c>
    </row>
    <row r="57" spans="1:2" x14ac:dyDescent="0.4">
      <c r="A57">
        <v>21</v>
      </c>
      <c r="B57">
        <v>34.299999999999997</v>
      </c>
    </row>
    <row r="58" spans="1:2" x14ac:dyDescent="0.4">
      <c r="A58">
        <v>24</v>
      </c>
      <c r="B58">
        <v>7.2</v>
      </c>
    </row>
    <row r="59" spans="1:2" x14ac:dyDescent="0.4">
      <c r="A59">
        <v>27</v>
      </c>
      <c r="B59">
        <v>-27.9</v>
      </c>
    </row>
    <row r="60" spans="1:2" x14ac:dyDescent="0.4">
      <c r="A60">
        <v>30</v>
      </c>
      <c r="B60">
        <v>-42.1</v>
      </c>
    </row>
    <row r="61" spans="1:2" x14ac:dyDescent="0.4">
      <c r="A61">
        <v>33</v>
      </c>
      <c r="B61">
        <v>-27.6</v>
      </c>
    </row>
    <row r="62" spans="1:2" x14ac:dyDescent="0.4">
      <c r="A62">
        <v>36</v>
      </c>
      <c r="B62">
        <v>-6.1</v>
      </c>
    </row>
    <row r="63" spans="1:2" x14ac:dyDescent="0.4">
      <c r="A63">
        <v>39</v>
      </c>
      <c r="B63">
        <v>13.7</v>
      </c>
    </row>
    <row r="64" spans="1:2" x14ac:dyDescent="0.4">
      <c r="A64">
        <v>42</v>
      </c>
      <c r="B64">
        <v>32.299999999999997</v>
      </c>
    </row>
    <row r="65" spans="1:2" x14ac:dyDescent="0.4">
      <c r="A65">
        <v>45</v>
      </c>
      <c r="B65">
        <v>37.200000000000003</v>
      </c>
    </row>
    <row r="66" spans="1:2" x14ac:dyDescent="0.4">
      <c r="A66">
        <v>48</v>
      </c>
      <c r="B66">
        <v>6.5</v>
      </c>
    </row>
    <row r="67" spans="1:2" x14ac:dyDescent="0.4">
      <c r="A67">
        <v>51</v>
      </c>
      <c r="B67">
        <v>-25.4</v>
      </c>
    </row>
    <row r="68" spans="1:2" x14ac:dyDescent="0.4">
      <c r="A68">
        <v>54</v>
      </c>
      <c r="B68">
        <v>-42.9</v>
      </c>
    </row>
    <row r="69" spans="1:2" x14ac:dyDescent="0.4">
      <c r="A69">
        <v>57</v>
      </c>
      <c r="B69">
        <v>-28.4</v>
      </c>
    </row>
    <row r="103" spans="1:1" ht="20.25" x14ac:dyDescent="0.4">
      <c r="A103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beiyou</cp:lastModifiedBy>
  <dcterms:created xsi:type="dcterms:W3CDTF">2021-12-04T08:00:07Z</dcterms:created>
  <dcterms:modified xsi:type="dcterms:W3CDTF">2021-12-12T15:59:38Z</dcterms:modified>
</cp:coreProperties>
</file>