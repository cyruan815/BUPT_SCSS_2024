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Y\Desktop\物理实验报告\"/>
    </mc:Choice>
  </mc:AlternateContent>
  <xr:revisionPtr revIDLastSave="0" documentId="13_ncr:1_{7BE6BA0D-0373-4142-8E43-6D3F20FE54B5}" xr6:coauthVersionLast="45" xr6:coauthVersionMax="45" xr10:uidLastSave="{00000000-0000-0000-0000-000000000000}"/>
  <bookViews>
    <workbookView xWindow="-108" yWindow="-108" windowWidth="23256" windowHeight="12576" xr2:uid="{B81A4740-AB62-478B-B320-1DB7BE119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0" i="1" l="1"/>
  <c r="S50" i="1"/>
  <c r="R50" i="1"/>
  <c r="Q50" i="1"/>
  <c r="P50" i="1"/>
  <c r="O50" i="1"/>
  <c r="N50" i="1"/>
  <c r="M50" i="1"/>
  <c r="L50" i="1"/>
  <c r="K50" i="1"/>
  <c r="J50" i="1"/>
  <c r="J46" i="1"/>
  <c r="K46" i="1"/>
  <c r="L46" i="1"/>
  <c r="M46" i="1"/>
  <c r="N46" i="1"/>
  <c r="O46" i="1"/>
  <c r="E46" i="1"/>
  <c r="F46" i="1"/>
  <c r="G46" i="1"/>
  <c r="H46" i="1"/>
  <c r="I46" i="1"/>
  <c r="D46" i="1"/>
  <c r="M2" i="1" l="1"/>
  <c r="M3" i="1"/>
  <c r="M4" i="1"/>
  <c r="M1" i="1"/>
  <c r="K2" i="1"/>
  <c r="K3" i="1"/>
  <c r="K4" i="1"/>
  <c r="K1" i="1"/>
  <c r="I2" i="1"/>
  <c r="I3" i="1"/>
  <c r="I4" i="1"/>
  <c r="I1" i="1"/>
  <c r="C1" i="1"/>
  <c r="C16" i="1" l="1"/>
  <c r="H4" i="1"/>
  <c r="H2" i="1"/>
  <c r="H3" i="1"/>
  <c r="H1" i="1"/>
  <c r="C4" i="1" l="1"/>
  <c r="C5" i="1"/>
  <c r="C6" i="1"/>
  <c r="C7" i="1"/>
  <c r="C8" i="1"/>
  <c r="C9" i="1"/>
  <c r="C10" i="1"/>
  <c r="C11" i="1"/>
  <c r="C12" i="1"/>
  <c r="C13" i="1"/>
  <c r="C14" i="1"/>
  <c r="C15" i="1"/>
  <c r="C17" i="1"/>
  <c r="C18" i="1"/>
  <c r="C19" i="1"/>
  <c r="C20" i="1"/>
  <c r="C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2" i="1"/>
  <c r="D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"/>
      <name val="仿宋_GB2312"/>
      <family val="1"/>
      <charset val="134"/>
    </font>
    <font>
      <b/>
      <sz val="12"/>
      <color theme="1"/>
      <name val="仿宋_GB2312"/>
      <family val="1"/>
      <charset val="134"/>
    </font>
    <font>
      <sz val="12"/>
      <color theme="1"/>
      <name val="仿宋_GB2312"/>
      <family val="1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1"/>
              <a:t>P-R</a:t>
            </a:r>
            <a:r>
              <a:rPr lang="zh-CN" altLang="en-US" sz="2000" b="1"/>
              <a:t>图像</a:t>
            </a:r>
            <a:r>
              <a:rPr lang="zh-CN" altLang="en-US" sz="900" b="1"/>
              <a:t>刘洋</a:t>
            </a:r>
            <a:r>
              <a:rPr lang="en-US" altLang="zh-CN" sz="900" b="1"/>
              <a:t>04.16</a:t>
            </a:r>
            <a:endParaRPr lang="zh-CN" altLang="en-US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310870516185475"/>
          <c:y val="0.18039370078740158"/>
          <c:w val="0.82122462817147857"/>
          <c:h val="0.60780876348789736"/>
        </c:manualLayout>
      </c:layout>
      <c:scatterChart>
        <c:scatterStyle val="smoothMarker"/>
        <c:varyColors val="0"/>
        <c:ser>
          <c:idx val="0"/>
          <c:order val="0"/>
          <c:tx>
            <c:v>第四组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Sheet1!$C$1:$C$20</c:f>
              <c:numCache>
                <c:formatCode>General</c:formatCode>
                <c:ptCount val="20"/>
                <c:pt idx="0">
                  <c:v>10.666666666666666</c:v>
                </c:pt>
                <c:pt idx="1">
                  <c:v>20.666666666666668</c:v>
                </c:pt>
                <c:pt idx="2">
                  <c:v>111.11111111111111</c:v>
                </c:pt>
                <c:pt idx="3">
                  <c:v>121.16788321167883</c:v>
                </c:pt>
                <c:pt idx="4">
                  <c:v>131.00775193798449</c:v>
                </c:pt>
                <c:pt idx="5">
                  <c:v>141.32231404958679</c:v>
                </c:pt>
                <c:pt idx="6">
                  <c:v>151.75438596491227</c:v>
                </c:pt>
                <c:pt idx="7">
                  <c:v>161.11111111111109</c:v>
                </c:pt>
                <c:pt idx="8">
                  <c:v>171.56862745098039</c:v>
                </c:pt>
                <c:pt idx="9">
                  <c:v>181.44329896907217</c:v>
                </c:pt>
                <c:pt idx="10">
                  <c:v>192.39130434782612</c:v>
                </c:pt>
                <c:pt idx="11">
                  <c:v>202.27272727272728</c:v>
                </c:pt>
                <c:pt idx="12">
                  <c:v>213.09523809523807</c:v>
                </c:pt>
                <c:pt idx="13">
                  <c:v>220.98765432098764</c:v>
                </c:pt>
                <c:pt idx="14">
                  <c:v>233.76623376623377</c:v>
                </c:pt>
                <c:pt idx="15">
                  <c:v>243.24324324324323</c:v>
                </c:pt>
                <c:pt idx="16">
                  <c:v>251.38888888888889</c:v>
                </c:pt>
                <c:pt idx="17">
                  <c:v>262.31884057971018</c:v>
                </c:pt>
                <c:pt idx="18">
                  <c:v>270.14925373134332</c:v>
                </c:pt>
                <c:pt idx="19">
                  <c:v>284.375</c:v>
                </c:pt>
              </c:numCache>
            </c:numRef>
          </c:xVal>
          <c:yVal>
            <c:numRef>
              <c:f>Sheet1!$D$1:$D$20</c:f>
              <c:numCache>
                <c:formatCode>General</c:formatCode>
                <c:ptCount val="20"/>
                <c:pt idx="0">
                  <c:v>2.4</c:v>
                </c:pt>
                <c:pt idx="1">
                  <c:v>4.6500000000000004</c:v>
                </c:pt>
                <c:pt idx="2">
                  <c:v>23.040000000000003</c:v>
                </c:pt>
                <c:pt idx="3">
                  <c:v>22.741999999999997</c:v>
                </c:pt>
                <c:pt idx="4">
                  <c:v>21.800999999999998</c:v>
                </c:pt>
                <c:pt idx="5">
                  <c:v>20.690999999999999</c:v>
                </c:pt>
                <c:pt idx="6">
                  <c:v>19.722000000000001</c:v>
                </c:pt>
                <c:pt idx="7">
                  <c:v>18.792000000000002</c:v>
                </c:pt>
                <c:pt idx="8">
                  <c:v>17.849999999999998</c:v>
                </c:pt>
                <c:pt idx="9">
                  <c:v>17.071999999999999</c:v>
                </c:pt>
                <c:pt idx="10">
                  <c:v>16.283999999999999</c:v>
                </c:pt>
                <c:pt idx="11">
                  <c:v>15.664000000000001</c:v>
                </c:pt>
                <c:pt idx="12">
                  <c:v>15.036000000000001</c:v>
                </c:pt>
                <c:pt idx="13">
                  <c:v>14.498999999999999</c:v>
                </c:pt>
                <c:pt idx="14">
                  <c:v>13.860000000000001</c:v>
                </c:pt>
                <c:pt idx="15">
                  <c:v>13.32</c:v>
                </c:pt>
                <c:pt idx="16">
                  <c:v>13.032</c:v>
                </c:pt>
                <c:pt idx="17">
                  <c:v>12.489000000000001</c:v>
                </c:pt>
                <c:pt idx="18">
                  <c:v>12.127000000000001</c:v>
                </c:pt>
                <c:pt idx="19">
                  <c:v>11.648000000000001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C7-44A3-AA80-A7B7D110871F}"/>
            </c:ext>
          </c:extLst>
        </c:ser>
        <c:ser>
          <c:idx val="1"/>
          <c:order val="1"/>
          <c:tx>
            <c:v>第一组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Sheet1!$A$23:$A$42</c:f>
              <c:numCache>
                <c:formatCode>General</c:formatCode>
                <c:ptCount val="20"/>
                <c:pt idx="0">
                  <c:v>10.3</c:v>
                </c:pt>
                <c:pt idx="1">
                  <c:v>40.6</c:v>
                </c:pt>
                <c:pt idx="2">
                  <c:v>50.6</c:v>
                </c:pt>
                <c:pt idx="3">
                  <c:v>60.6</c:v>
                </c:pt>
                <c:pt idx="4">
                  <c:v>80.7</c:v>
                </c:pt>
                <c:pt idx="5">
                  <c:v>90.9</c:v>
                </c:pt>
                <c:pt idx="6">
                  <c:v>101.1</c:v>
                </c:pt>
                <c:pt idx="7">
                  <c:v>111</c:v>
                </c:pt>
                <c:pt idx="8">
                  <c:v>120.6</c:v>
                </c:pt>
                <c:pt idx="9">
                  <c:v>131.1</c:v>
                </c:pt>
                <c:pt idx="10">
                  <c:v>141.30000000000001</c:v>
                </c:pt>
                <c:pt idx="11">
                  <c:v>151.19999999999999</c:v>
                </c:pt>
                <c:pt idx="12">
                  <c:v>162</c:v>
                </c:pt>
                <c:pt idx="13">
                  <c:v>171.9</c:v>
                </c:pt>
                <c:pt idx="14">
                  <c:v>191.3</c:v>
                </c:pt>
                <c:pt idx="15">
                  <c:v>232.9</c:v>
                </c:pt>
                <c:pt idx="16">
                  <c:v>272.60000000000002</c:v>
                </c:pt>
                <c:pt idx="17">
                  <c:v>292.60000000000002</c:v>
                </c:pt>
                <c:pt idx="18">
                  <c:v>344.8</c:v>
                </c:pt>
                <c:pt idx="19">
                  <c:v>384.6</c:v>
                </c:pt>
              </c:numCache>
            </c:numRef>
          </c:xVal>
          <c:yVal>
            <c:numRef>
              <c:f>Sheet1!$B$23:$B$42</c:f>
              <c:numCache>
                <c:formatCode>General</c:formatCode>
                <c:ptCount val="20"/>
                <c:pt idx="0">
                  <c:v>19.760000000000002</c:v>
                </c:pt>
                <c:pt idx="1">
                  <c:v>71.23</c:v>
                </c:pt>
                <c:pt idx="2">
                  <c:v>62.66</c:v>
                </c:pt>
                <c:pt idx="3">
                  <c:v>55.27</c:v>
                </c:pt>
                <c:pt idx="4">
                  <c:v>43.8</c:v>
                </c:pt>
                <c:pt idx="5">
                  <c:v>39.71</c:v>
                </c:pt>
                <c:pt idx="6">
                  <c:v>36.1</c:v>
                </c:pt>
                <c:pt idx="7">
                  <c:v>33.22</c:v>
                </c:pt>
                <c:pt idx="8">
                  <c:v>30.88</c:v>
                </c:pt>
                <c:pt idx="9">
                  <c:v>28.71</c:v>
                </c:pt>
                <c:pt idx="10">
                  <c:v>26.91</c:v>
                </c:pt>
                <c:pt idx="11">
                  <c:v>25.16</c:v>
                </c:pt>
                <c:pt idx="12">
                  <c:v>23.72</c:v>
                </c:pt>
                <c:pt idx="13">
                  <c:v>22.34</c:v>
                </c:pt>
                <c:pt idx="14">
                  <c:v>20.29</c:v>
                </c:pt>
                <c:pt idx="15">
                  <c:v>16.829999999999998</c:v>
                </c:pt>
                <c:pt idx="16">
                  <c:v>14.53</c:v>
                </c:pt>
                <c:pt idx="17">
                  <c:v>13.53</c:v>
                </c:pt>
                <c:pt idx="18">
                  <c:v>11.6</c:v>
                </c:pt>
                <c:pt idx="19">
                  <c:v>10.4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C7-44A3-AA80-A7B7D110871F}"/>
            </c:ext>
          </c:extLst>
        </c:ser>
        <c:ser>
          <c:idx val="2"/>
          <c:order val="2"/>
          <c:tx>
            <c:v>第二组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Sheet1!$D$23:$D$42</c:f>
              <c:numCache>
                <c:formatCode>General</c:formatCode>
                <c:ptCount val="20"/>
                <c:pt idx="0">
                  <c:v>28.5</c:v>
                </c:pt>
                <c:pt idx="1">
                  <c:v>30.5</c:v>
                </c:pt>
                <c:pt idx="2">
                  <c:v>40.5</c:v>
                </c:pt>
                <c:pt idx="3">
                  <c:v>50.8</c:v>
                </c:pt>
                <c:pt idx="4">
                  <c:v>60.7</c:v>
                </c:pt>
                <c:pt idx="5">
                  <c:v>70.599999999999994</c:v>
                </c:pt>
                <c:pt idx="6">
                  <c:v>81</c:v>
                </c:pt>
                <c:pt idx="7">
                  <c:v>81</c:v>
                </c:pt>
                <c:pt idx="8">
                  <c:v>90.7</c:v>
                </c:pt>
                <c:pt idx="9">
                  <c:v>101.1</c:v>
                </c:pt>
                <c:pt idx="10">
                  <c:v>111.2</c:v>
                </c:pt>
                <c:pt idx="11">
                  <c:v>121.2</c:v>
                </c:pt>
                <c:pt idx="12">
                  <c:v>131</c:v>
                </c:pt>
                <c:pt idx="13">
                  <c:v>141.5</c:v>
                </c:pt>
                <c:pt idx="14">
                  <c:v>151.19999999999999</c:v>
                </c:pt>
                <c:pt idx="15">
                  <c:v>182.1</c:v>
                </c:pt>
                <c:pt idx="16">
                  <c:v>192.1</c:v>
                </c:pt>
                <c:pt idx="17">
                  <c:v>202.1</c:v>
                </c:pt>
                <c:pt idx="18">
                  <c:v>210.9</c:v>
                </c:pt>
                <c:pt idx="19">
                  <c:v>211.6</c:v>
                </c:pt>
              </c:numCache>
            </c:numRef>
          </c:xVal>
          <c:yVal>
            <c:numRef>
              <c:f>Sheet1!$E$23:$E$42</c:f>
              <c:numCache>
                <c:formatCode>General</c:formatCode>
                <c:ptCount val="20"/>
                <c:pt idx="0">
                  <c:v>35.1</c:v>
                </c:pt>
                <c:pt idx="1">
                  <c:v>37.56</c:v>
                </c:pt>
                <c:pt idx="2">
                  <c:v>49.84</c:v>
                </c:pt>
                <c:pt idx="3">
                  <c:v>55.61</c:v>
                </c:pt>
                <c:pt idx="4">
                  <c:v>51.04</c:v>
                </c:pt>
                <c:pt idx="5">
                  <c:v>45.9</c:v>
                </c:pt>
                <c:pt idx="6">
                  <c:v>41.36</c:v>
                </c:pt>
                <c:pt idx="7">
                  <c:v>41.36</c:v>
                </c:pt>
                <c:pt idx="8">
                  <c:v>37.74</c:v>
                </c:pt>
                <c:pt idx="9">
                  <c:v>34.6</c:v>
                </c:pt>
                <c:pt idx="10">
                  <c:v>31.77</c:v>
                </c:pt>
                <c:pt idx="11">
                  <c:v>29.48</c:v>
                </c:pt>
                <c:pt idx="12">
                  <c:v>27.55</c:v>
                </c:pt>
                <c:pt idx="13">
                  <c:v>25.79</c:v>
                </c:pt>
                <c:pt idx="14">
                  <c:v>24.38</c:v>
                </c:pt>
                <c:pt idx="15">
                  <c:v>20.46</c:v>
                </c:pt>
                <c:pt idx="16">
                  <c:v>19.59</c:v>
                </c:pt>
                <c:pt idx="17">
                  <c:v>18.62</c:v>
                </c:pt>
                <c:pt idx="18">
                  <c:v>17.850000000000001</c:v>
                </c:pt>
                <c:pt idx="19">
                  <c:v>17.16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C7-44A3-AA80-A7B7D110871F}"/>
            </c:ext>
          </c:extLst>
        </c:ser>
        <c:ser>
          <c:idx val="3"/>
          <c:order val="3"/>
          <c:tx>
            <c:v>第三组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Sheet1!$G$23:$G$42</c:f>
              <c:numCache>
                <c:formatCode>General</c:formatCode>
                <c:ptCount val="20"/>
                <c:pt idx="0">
                  <c:v>40.799999999999997</c:v>
                </c:pt>
                <c:pt idx="1">
                  <c:v>60.6</c:v>
                </c:pt>
                <c:pt idx="2">
                  <c:v>70.599999999999994</c:v>
                </c:pt>
                <c:pt idx="3">
                  <c:v>80.8</c:v>
                </c:pt>
                <c:pt idx="4">
                  <c:v>90.7</c:v>
                </c:pt>
                <c:pt idx="5">
                  <c:v>101.1</c:v>
                </c:pt>
                <c:pt idx="6">
                  <c:v>111.1</c:v>
                </c:pt>
                <c:pt idx="7">
                  <c:v>121.3</c:v>
                </c:pt>
                <c:pt idx="8">
                  <c:v>130.69999999999999</c:v>
                </c:pt>
                <c:pt idx="9">
                  <c:v>151.6</c:v>
                </c:pt>
                <c:pt idx="10">
                  <c:v>161.69999999999999</c:v>
                </c:pt>
                <c:pt idx="11">
                  <c:v>171.6</c:v>
                </c:pt>
                <c:pt idx="12">
                  <c:v>191.8</c:v>
                </c:pt>
                <c:pt idx="13">
                  <c:v>212.4</c:v>
                </c:pt>
                <c:pt idx="14">
                  <c:v>222.4</c:v>
                </c:pt>
                <c:pt idx="15">
                  <c:v>230.5</c:v>
                </c:pt>
                <c:pt idx="16">
                  <c:v>293.8</c:v>
                </c:pt>
                <c:pt idx="17">
                  <c:v>314.8</c:v>
                </c:pt>
                <c:pt idx="18">
                  <c:v>325.39999999999998</c:v>
                </c:pt>
                <c:pt idx="19">
                  <c:v>331</c:v>
                </c:pt>
              </c:numCache>
            </c:numRef>
          </c:xVal>
          <c:yVal>
            <c:numRef>
              <c:f>Sheet1!$H$23:$H$41</c:f>
              <c:numCache>
                <c:formatCode>General</c:formatCode>
                <c:ptCount val="19"/>
                <c:pt idx="0">
                  <c:v>25.5</c:v>
                </c:pt>
                <c:pt idx="1">
                  <c:v>37.6</c:v>
                </c:pt>
                <c:pt idx="2">
                  <c:v>39.01</c:v>
                </c:pt>
                <c:pt idx="3">
                  <c:v>36.64</c:v>
                </c:pt>
                <c:pt idx="4">
                  <c:v>34.14</c:v>
                </c:pt>
                <c:pt idx="5">
                  <c:v>31.68</c:v>
                </c:pt>
                <c:pt idx="6">
                  <c:v>29.16</c:v>
                </c:pt>
                <c:pt idx="7">
                  <c:v>27.3</c:v>
                </c:pt>
                <c:pt idx="8">
                  <c:v>25.62</c:v>
                </c:pt>
                <c:pt idx="9">
                  <c:v>22.57</c:v>
                </c:pt>
                <c:pt idx="10">
                  <c:v>21.39</c:v>
                </c:pt>
                <c:pt idx="11">
                  <c:v>20.38</c:v>
                </c:pt>
                <c:pt idx="12">
                  <c:v>18.420000000000002</c:v>
                </c:pt>
                <c:pt idx="13">
                  <c:v>16.82</c:v>
                </c:pt>
                <c:pt idx="14">
                  <c:v>16.07</c:v>
                </c:pt>
                <c:pt idx="15">
                  <c:v>15.5</c:v>
                </c:pt>
                <c:pt idx="16">
                  <c:v>12.42</c:v>
                </c:pt>
                <c:pt idx="17">
                  <c:v>11.71</c:v>
                </c:pt>
                <c:pt idx="18">
                  <c:v>11.33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C7-44A3-AA80-A7B7D1108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050560"/>
        <c:axId val="1848349616"/>
      </c:scatterChart>
      <c:valAx>
        <c:axId val="169305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</a:t>
                </a:r>
                <a:r>
                  <a:rPr lang="zh-CN" altLang="en-US"/>
                  <a:t>负载</a:t>
                </a:r>
                <a:r>
                  <a:rPr lang="en-US" altLang="zh-CN"/>
                  <a:t>/</a:t>
                </a:r>
                <a:r>
                  <a:rPr lang="zh-CN" altLang="zh-CN" sz="1000" b="1" i="0" u="none" strike="noStrike" baseline="0">
                    <a:effectLst/>
                  </a:rPr>
                  <a:t>Ω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8349616"/>
        <c:crosses val="autoZero"/>
        <c:crossBetween val="midCat"/>
      </c:valAx>
      <c:valAx>
        <c:axId val="184834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</a:t>
                </a:r>
                <a:r>
                  <a:rPr lang="zh-CN" altLang="en-US"/>
                  <a:t>输出</a:t>
                </a:r>
                <a:r>
                  <a:rPr lang="en-US" altLang="zh-CN"/>
                  <a:t>/mw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305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33333333333333"/>
          <c:y val="9.8297608632254327E-2"/>
          <c:w val="0.15833333333333333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电压与质量的关系曲线图</a:t>
            </a:r>
            <a:endParaRPr lang="zh-CN"/>
          </a:p>
        </c:rich>
      </c:tx>
      <c:layout>
        <c:manualLayout>
          <c:xMode val="edge"/>
          <c:yMode val="edge"/>
          <c:x val="0.15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521981627296588"/>
          <c:y val="0.31465296004666082"/>
          <c:w val="0.80855796150481185"/>
          <c:h val="0.50190543890347039"/>
        </c:manualLayout>
      </c:layout>
      <c:scatterChart>
        <c:scatterStyle val="smoothMarker"/>
        <c:varyColors val="0"/>
        <c:ser>
          <c:idx val="0"/>
          <c:order val="0"/>
          <c:tx>
            <c:v>单臂电桥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Sheet1!$J$48:$T$48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Sheet1!$D$46:$N$46</c:f>
              <c:numCache>
                <c:formatCode>General</c:formatCode>
                <c:ptCount val="11"/>
                <c:pt idx="0">
                  <c:v>0</c:v>
                </c:pt>
                <c:pt idx="1">
                  <c:v>5.4</c:v>
                </c:pt>
                <c:pt idx="2">
                  <c:v>9.6999999999999993</c:v>
                </c:pt>
                <c:pt idx="3">
                  <c:v>13.9</c:v>
                </c:pt>
                <c:pt idx="4">
                  <c:v>18.100000000000001</c:v>
                </c:pt>
                <c:pt idx="5">
                  <c:v>22.4</c:v>
                </c:pt>
                <c:pt idx="6">
                  <c:v>26.6</c:v>
                </c:pt>
                <c:pt idx="7">
                  <c:v>30.9</c:v>
                </c:pt>
                <c:pt idx="8">
                  <c:v>35.1</c:v>
                </c:pt>
                <c:pt idx="9">
                  <c:v>39.4</c:v>
                </c:pt>
                <c:pt idx="10">
                  <c:v>43.6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E2-4578-B60E-1F1611609472}"/>
            </c:ext>
          </c:extLst>
        </c:ser>
        <c:ser>
          <c:idx val="1"/>
          <c:order val="1"/>
          <c:tx>
            <c:v>全桥电桥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Sheet1!$J$48:$T$48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Sheet1!$J$49:$T$49</c:f>
              <c:numCache>
                <c:formatCode>General</c:formatCode>
                <c:ptCount val="11"/>
                <c:pt idx="0">
                  <c:v>0</c:v>
                </c:pt>
                <c:pt idx="1">
                  <c:v>16.899999999999999</c:v>
                </c:pt>
                <c:pt idx="2">
                  <c:v>33.799999999999997</c:v>
                </c:pt>
                <c:pt idx="3">
                  <c:v>50.8</c:v>
                </c:pt>
                <c:pt idx="4">
                  <c:v>67.7</c:v>
                </c:pt>
                <c:pt idx="5">
                  <c:v>84.6</c:v>
                </c:pt>
                <c:pt idx="6">
                  <c:v>101.5</c:v>
                </c:pt>
                <c:pt idx="7">
                  <c:v>118.4</c:v>
                </c:pt>
                <c:pt idx="8">
                  <c:v>135.30000000000001</c:v>
                </c:pt>
                <c:pt idx="9">
                  <c:v>152.30000000000001</c:v>
                </c:pt>
                <c:pt idx="10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E2-4578-B60E-1F161160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330112"/>
        <c:axId val="623213824"/>
      </c:scatterChart>
      <c:valAx>
        <c:axId val="94933011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砝码质量</a:t>
                </a:r>
                <a:r>
                  <a:rPr lang="en-US" altLang="zh-CN"/>
                  <a:t>/g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3213824"/>
        <c:crosses val="autoZero"/>
        <c:crossBetween val="midCat"/>
        <c:majorUnit val="20"/>
      </c:valAx>
      <c:valAx>
        <c:axId val="6232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电压</a:t>
                </a:r>
                <a:r>
                  <a:rPr lang="en-US" altLang="zh-CN"/>
                  <a:t>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933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6944444444444442"/>
          <c:y val="0.20891149023038791"/>
          <c:w val="0.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Vh-Im曲线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Sheet1!$A$49:$I$49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</c:numCache>
            </c:numRef>
          </c:xVal>
          <c:yVal>
            <c:numRef>
              <c:f>Sheet1!$A$48:$I$48</c:f>
              <c:numCache>
                <c:formatCode>General</c:formatCode>
                <c:ptCount val="9"/>
                <c:pt idx="0">
                  <c:v>0.92</c:v>
                </c:pt>
                <c:pt idx="1">
                  <c:v>1.95</c:v>
                </c:pt>
                <c:pt idx="2">
                  <c:v>3.04</c:v>
                </c:pt>
                <c:pt idx="3">
                  <c:v>4.07</c:v>
                </c:pt>
                <c:pt idx="4">
                  <c:v>5.14</c:v>
                </c:pt>
                <c:pt idx="5">
                  <c:v>6.19</c:v>
                </c:pt>
                <c:pt idx="6">
                  <c:v>7.24</c:v>
                </c:pt>
                <c:pt idx="7">
                  <c:v>8.32</c:v>
                </c:pt>
                <c:pt idx="8">
                  <c:v>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6-4C87-B85A-78A6EF028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064560"/>
        <c:axId val="1641861872"/>
      </c:scatterChart>
      <c:valAx>
        <c:axId val="171406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1861872"/>
        <c:crosses val="autoZero"/>
        <c:crossBetween val="midCat"/>
      </c:valAx>
      <c:valAx>
        <c:axId val="164186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406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Vh-Is</a:t>
            </a:r>
            <a:r>
              <a:rPr lang="zh-CN" altLang="en-US"/>
              <a:t>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Vh-Im曲线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Sheet1!$A$49:$I$49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</c:numCache>
            </c:numRef>
          </c:xVal>
          <c:yVal>
            <c:numRef>
              <c:f>Sheet1!$A$50:$I$50</c:f>
              <c:numCache>
                <c:formatCode>General</c:formatCode>
                <c:ptCount val="9"/>
                <c:pt idx="0">
                  <c:v>1.02</c:v>
                </c:pt>
                <c:pt idx="1">
                  <c:v>2.0699999999999998</c:v>
                </c:pt>
                <c:pt idx="2">
                  <c:v>3.15</c:v>
                </c:pt>
                <c:pt idx="3">
                  <c:v>4.1399999999999997</c:v>
                </c:pt>
                <c:pt idx="4">
                  <c:v>5.2</c:v>
                </c:pt>
                <c:pt idx="5">
                  <c:v>6.26</c:v>
                </c:pt>
                <c:pt idx="6">
                  <c:v>7.23</c:v>
                </c:pt>
                <c:pt idx="7">
                  <c:v>8.2799999999999994</c:v>
                </c:pt>
                <c:pt idx="8">
                  <c:v>9.33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D-49D6-9435-E4EA19ED4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531856"/>
        <c:axId val="1716914480"/>
      </c:scatterChart>
      <c:valAx>
        <c:axId val="171353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6914480"/>
        <c:crosses val="autoZero"/>
        <c:crossBetween val="midCat"/>
      </c:valAx>
      <c:valAx>
        <c:axId val="17169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353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224790</xdr:colOff>
      <xdr:row>8</xdr:row>
      <xdr:rowOff>0</xdr:rowOff>
    </xdr:from>
    <xdr:to>
      <xdr:col>18</xdr:col>
      <xdr:colOff>529590</xdr:colOff>
      <xdr:row>23</xdr:row>
      <xdr:rowOff>114300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E376D5C-453D-48CC-AE67-BDDD8FC55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52</xdr:row>
      <xdr:rowOff>99060</xdr:rowOff>
    </xdr:from>
    <xdr:to>
      <xdr:col>23</xdr:col>
      <xdr:colOff>441960</xdr:colOff>
      <xdr:row>68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C7AB8F6-636A-43FF-9D79-7FED6C47A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339090</xdr:colOff>
      <xdr:row>51</xdr:row>
      <xdr:rowOff>83820</xdr:rowOff>
    </xdr:from>
    <xdr:to>
      <xdr:col>9</xdr:col>
      <xdr:colOff>34290</xdr:colOff>
      <xdr:row>67</xdr:row>
      <xdr:rowOff>22860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9DCC28D-F384-44D8-9F52-4455F7F78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121920</xdr:colOff>
      <xdr:row>45</xdr:row>
      <xdr:rowOff>76200</xdr:rowOff>
    </xdr:from>
    <xdr:to>
      <xdr:col>18</xdr:col>
      <xdr:colOff>426720</xdr:colOff>
      <xdr:row>60</xdr:row>
      <xdr:rowOff>68580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97397EA-DAAE-4AD7-A198-D9D5448CA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45C0-4A7A-4A8F-BE7F-EED6CA3C276D}">
  <dimension ref="A1:T51"/>
  <sheetViews>
    <sheetView tabSelected="1" topLeftCell="A45" workbookViewId="0">
      <selection activeCell="J49" sqref="J49"/>
    </sheetView>
  </sheetViews>
  <sheetFormatPr defaultRowHeight="13.8"/>
  <sheetData>
    <row r="1" spans="1:13">
      <c r="A1">
        <v>15</v>
      </c>
      <c r="B1">
        <v>0.16</v>
      </c>
      <c r="C1">
        <f>B1/A1*1000</f>
        <v>10.666666666666666</v>
      </c>
      <c r="D1">
        <f t="shared" ref="D1:D20" si="0">B1*A1</f>
        <v>2.4</v>
      </c>
      <c r="E1">
        <v>2</v>
      </c>
      <c r="F1">
        <v>2.0099999999999998</v>
      </c>
      <c r="G1">
        <v>35</v>
      </c>
      <c r="H1">
        <f>F1/G1*1000</f>
        <v>57.428571428571416</v>
      </c>
      <c r="I1">
        <f>F1*G1</f>
        <v>70.349999999999994</v>
      </c>
      <c r="J1">
        <v>55.61</v>
      </c>
      <c r="K1">
        <f>J1/I1</f>
        <v>0.79047619047619055</v>
      </c>
      <c r="L1">
        <v>50.8</v>
      </c>
      <c r="M1">
        <f>L1/H1</f>
        <v>0.8845771144278608</v>
      </c>
    </row>
    <row r="2" spans="1:13">
      <c r="A2">
        <v>15</v>
      </c>
      <c r="B2">
        <v>0.31</v>
      </c>
      <c r="C2">
        <f>B2/A2*1000</f>
        <v>20.666666666666668</v>
      </c>
      <c r="D2">
        <f t="shared" si="0"/>
        <v>4.6500000000000004</v>
      </c>
      <c r="E2">
        <v>3</v>
      </c>
      <c r="F2">
        <v>1.97</v>
      </c>
      <c r="G2">
        <v>25</v>
      </c>
      <c r="H2">
        <f t="shared" ref="H2:H4" si="1">F2/G2*1000</f>
        <v>78.8</v>
      </c>
      <c r="I2">
        <f t="shared" ref="I2:I4" si="2">F2*G2</f>
        <v>49.25</v>
      </c>
      <c r="J2">
        <v>39.01</v>
      </c>
      <c r="K2">
        <f t="shared" ref="K2:K4" si="3">J2/I2</f>
        <v>0.7920812182741116</v>
      </c>
      <c r="L2">
        <v>70.599999999999994</v>
      </c>
      <c r="M2">
        <f t="shared" ref="M2:M4" si="4">L2/H2</f>
        <v>0.89593908629441621</v>
      </c>
    </row>
    <row r="3" spans="1:13">
      <c r="A3">
        <v>1.6</v>
      </c>
      <c r="B3">
        <v>14.4</v>
      </c>
      <c r="C3">
        <f t="shared" ref="C3:C20" si="5">A3/B3*1000</f>
        <v>111.11111111111111</v>
      </c>
      <c r="D3">
        <f t="shared" si="0"/>
        <v>23.040000000000003</v>
      </c>
      <c r="E3">
        <v>4</v>
      </c>
      <c r="F3">
        <v>1.9</v>
      </c>
      <c r="G3">
        <v>15</v>
      </c>
      <c r="H3">
        <f t="shared" si="1"/>
        <v>126.66666666666664</v>
      </c>
      <c r="I3">
        <f t="shared" si="2"/>
        <v>28.5</v>
      </c>
      <c r="J3">
        <v>23.04</v>
      </c>
      <c r="K3">
        <f t="shared" si="3"/>
        <v>0.80842105263157893</v>
      </c>
      <c r="L3">
        <v>111.111</v>
      </c>
      <c r="M3">
        <f t="shared" si="4"/>
        <v>0.87719210526315805</v>
      </c>
    </row>
    <row r="4" spans="1:13">
      <c r="A4">
        <v>1.66</v>
      </c>
      <c r="B4">
        <v>13.7</v>
      </c>
      <c r="C4">
        <f t="shared" si="5"/>
        <v>121.16788321167883</v>
      </c>
      <c r="D4">
        <f t="shared" si="0"/>
        <v>22.741999999999997</v>
      </c>
      <c r="E4">
        <v>1</v>
      </c>
      <c r="F4">
        <v>2.0299999999999998</v>
      </c>
      <c r="G4">
        <v>45</v>
      </c>
      <c r="H4">
        <f t="shared" si="1"/>
        <v>45.111111111111107</v>
      </c>
      <c r="I4">
        <f t="shared" si="2"/>
        <v>91.35</v>
      </c>
      <c r="J4">
        <v>71.23</v>
      </c>
      <c r="K4">
        <f t="shared" si="3"/>
        <v>0.77974822112753162</v>
      </c>
      <c r="L4">
        <v>40.6</v>
      </c>
      <c r="M4">
        <f t="shared" si="4"/>
        <v>0.90000000000000013</v>
      </c>
    </row>
    <row r="5" spans="1:13">
      <c r="A5">
        <v>1.69</v>
      </c>
      <c r="B5">
        <v>12.9</v>
      </c>
      <c r="C5">
        <f t="shared" si="5"/>
        <v>131.00775193798449</v>
      </c>
      <c r="D5">
        <f t="shared" si="0"/>
        <v>21.800999999999998</v>
      </c>
    </row>
    <row r="6" spans="1:13">
      <c r="A6">
        <v>1.71</v>
      </c>
      <c r="B6">
        <v>12.1</v>
      </c>
      <c r="C6">
        <f t="shared" si="5"/>
        <v>141.32231404958679</v>
      </c>
      <c r="D6">
        <f t="shared" si="0"/>
        <v>20.690999999999999</v>
      </c>
    </row>
    <row r="7" spans="1:13">
      <c r="A7">
        <v>1.73</v>
      </c>
      <c r="B7">
        <v>11.4</v>
      </c>
      <c r="C7">
        <f t="shared" si="5"/>
        <v>151.75438596491227</v>
      </c>
      <c r="D7">
        <f t="shared" si="0"/>
        <v>19.722000000000001</v>
      </c>
    </row>
    <row r="8" spans="1:13">
      <c r="A8">
        <v>1.74</v>
      </c>
      <c r="B8">
        <v>10.8</v>
      </c>
      <c r="C8">
        <f t="shared" si="5"/>
        <v>161.11111111111109</v>
      </c>
      <c r="D8">
        <f t="shared" si="0"/>
        <v>18.792000000000002</v>
      </c>
    </row>
    <row r="9" spans="1:13">
      <c r="A9">
        <v>1.75</v>
      </c>
      <c r="B9">
        <v>10.199999999999999</v>
      </c>
      <c r="C9">
        <f t="shared" si="5"/>
        <v>171.56862745098039</v>
      </c>
      <c r="D9">
        <f t="shared" si="0"/>
        <v>17.849999999999998</v>
      </c>
    </row>
    <row r="10" spans="1:13">
      <c r="A10">
        <v>1.76</v>
      </c>
      <c r="B10">
        <v>9.6999999999999993</v>
      </c>
      <c r="C10">
        <f t="shared" si="5"/>
        <v>181.44329896907217</v>
      </c>
      <c r="D10">
        <f t="shared" si="0"/>
        <v>17.071999999999999</v>
      </c>
    </row>
    <row r="11" spans="1:13">
      <c r="A11">
        <v>1.77</v>
      </c>
      <c r="B11">
        <v>9.1999999999999993</v>
      </c>
      <c r="C11">
        <f t="shared" si="5"/>
        <v>192.39130434782612</v>
      </c>
      <c r="D11">
        <f t="shared" si="0"/>
        <v>16.283999999999999</v>
      </c>
    </row>
    <row r="12" spans="1:13">
      <c r="A12">
        <v>1.78</v>
      </c>
      <c r="B12">
        <v>8.8000000000000007</v>
      </c>
      <c r="C12">
        <f t="shared" si="5"/>
        <v>202.27272727272728</v>
      </c>
      <c r="D12">
        <f t="shared" si="0"/>
        <v>15.664000000000001</v>
      </c>
    </row>
    <row r="13" spans="1:13">
      <c r="A13">
        <v>1.79</v>
      </c>
      <c r="B13">
        <v>8.4</v>
      </c>
      <c r="C13">
        <f t="shared" si="5"/>
        <v>213.09523809523807</v>
      </c>
      <c r="D13">
        <f t="shared" si="0"/>
        <v>15.036000000000001</v>
      </c>
    </row>
    <row r="14" spans="1:13">
      <c r="A14">
        <v>1.79</v>
      </c>
      <c r="B14">
        <v>8.1</v>
      </c>
      <c r="C14">
        <f t="shared" si="5"/>
        <v>220.98765432098764</v>
      </c>
      <c r="D14">
        <f t="shared" si="0"/>
        <v>14.498999999999999</v>
      </c>
    </row>
    <row r="15" spans="1:13">
      <c r="A15">
        <v>1.8</v>
      </c>
      <c r="B15">
        <v>7.7</v>
      </c>
      <c r="C15">
        <f t="shared" si="5"/>
        <v>233.76623376623377</v>
      </c>
      <c r="D15">
        <f t="shared" si="0"/>
        <v>13.860000000000001</v>
      </c>
    </row>
    <row r="16" spans="1:13">
      <c r="A16">
        <v>1.8</v>
      </c>
      <c r="B16">
        <v>7.4</v>
      </c>
      <c r="C16">
        <f t="shared" si="5"/>
        <v>243.24324324324323</v>
      </c>
      <c r="D16">
        <f t="shared" si="0"/>
        <v>13.32</v>
      </c>
    </row>
    <row r="17" spans="1:8">
      <c r="A17">
        <v>1.81</v>
      </c>
      <c r="B17">
        <v>7.2</v>
      </c>
      <c r="C17">
        <f t="shared" si="5"/>
        <v>251.38888888888889</v>
      </c>
      <c r="D17">
        <f t="shared" si="0"/>
        <v>13.032</v>
      </c>
    </row>
    <row r="18" spans="1:8">
      <c r="A18">
        <v>1.81</v>
      </c>
      <c r="B18">
        <v>6.9</v>
      </c>
      <c r="C18">
        <f t="shared" si="5"/>
        <v>262.31884057971018</v>
      </c>
      <c r="D18">
        <f t="shared" si="0"/>
        <v>12.489000000000001</v>
      </c>
    </row>
    <row r="19" spans="1:8">
      <c r="A19">
        <v>1.81</v>
      </c>
      <c r="B19">
        <v>6.7</v>
      </c>
      <c r="C19">
        <f t="shared" si="5"/>
        <v>270.14925373134332</v>
      </c>
      <c r="D19">
        <f t="shared" si="0"/>
        <v>12.127000000000001</v>
      </c>
    </row>
    <row r="20" spans="1:8">
      <c r="A20">
        <v>1.82</v>
      </c>
      <c r="B20">
        <v>6.4</v>
      </c>
      <c r="C20">
        <f t="shared" si="5"/>
        <v>284.375</v>
      </c>
      <c r="D20">
        <f t="shared" si="0"/>
        <v>11.648000000000001</v>
      </c>
    </row>
    <row r="22" spans="1:8">
      <c r="A22">
        <v>1</v>
      </c>
      <c r="D22">
        <v>2</v>
      </c>
      <c r="G22">
        <v>3</v>
      </c>
    </row>
    <row r="23" spans="1:8">
      <c r="A23">
        <v>10.3</v>
      </c>
      <c r="B23">
        <v>19.760000000000002</v>
      </c>
      <c r="D23">
        <v>28.5</v>
      </c>
      <c r="E23">
        <v>35.1</v>
      </c>
      <c r="G23">
        <v>40.799999999999997</v>
      </c>
      <c r="H23">
        <v>25.5</v>
      </c>
    </row>
    <row r="24" spans="1:8">
      <c r="A24">
        <v>40.6</v>
      </c>
      <c r="B24">
        <v>71.23</v>
      </c>
      <c r="D24">
        <v>30.5</v>
      </c>
      <c r="E24">
        <v>37.56</v>
      </c>
      <c r="G24">
        <v>60.6</v>
      </c>
      <c r="H24">
        <v>37.6</v>
      </c>
    </row>
    <row r="25" spans="1:8">
      <c r="A25">
        <v>50.6</v>
      </c>
      <c r="B25">
        <v>62.66</v>
      </c>
      <c r="D25">
        <v>40.5</v>
      </c>
      <c r="E25">
        <v>49.84</v>
      </c>
      <c r="G25">
        <v>70.599999999999994</v>
      </c>
      <c r="H25">
        <v>39.01</v>
      </c>
    </row>
    <row r="26" spans="1:8">
      <c r="A26">
        <v>60.6</v>
      </c>
      <c r="B26">
        <v>55.27</v>
      </c>
      <c r="D26">
        <v>50.8</v>
      </c>
      <c r="E26">
        <v>55.61</v>
      </c>
      <c r="G26">
        <v>80.8</v>
      </c>
      <c r="H26">
        <v>36.64</v>
      </c>
    </row>
    <row r="27" spans="1:8">
      <c r="A27">
        <v>80.7</v>
      </c>
      <c r="B27">
        <v>43.8</v>
      </c>
      <c r="D27">
        <v>60.7</v>
      </c>
      <c r="E27">
        <v>51.04</v>
      </c>
      <c r="G27">
        <v>90.7</v>
      </c>
      <c r="H27">
        <v>34.14</v>
      </c>
    </row>
    <row r="28" spans="1:8">
      <c r="A28">
        <v>90.9</v>
      </c>
      <c r="B28">
        <v>39.71</v>
      </c>
      <c r="D28">
        <v>70.599999999999994</v>
      </c>
      <c r="E28">
        <v>45.9</v>
      </c>
      <c r="G28">
        <v>101.1</v>
      </c>
      <c r="H28">
        <v>31.68</v>
      </c>
    </row>
    <row r="29" spans="1:8">
      <c r="A29">
        <v>101.1</v>
      </c>
      <c r="B29">
        <v>36.1</v>
      </c>
      <c r="D29">
        <v>81</v>
      </c>
      <c r="E29">
        <v>41.36</v>
      </c>
      <c r="G29">
        <v>111.1</v>
      </c>
      <c r="H29">
        <v>29.16</v>
      </c>
    </row>
    <row r="30" spans="1:8">
      <c r="A30">
        <v>111</v>
      </c>
      <c r="B30">
        <v>33.22</v>
      </c>
      <c r="D30">
        <v>81</v>
      </c>
      <c r="E30">
        <v>41.36</v>
      </c>
      <c r="G30">
        <v>121.3</v>
      </c>
      <c r="H30">
        <v>27.3</v>
      </c>
    </row>
    <row r="31" spans="1:8">
      <c r="A31">
        <v>120.6</v>
      </c>
      <c r="B31">
        <v>30.88</v>
      </c>
      <c r="D31">
        <v>90.7</v>
      </c>
      <c r="E31">
        <v>37.74</v>
      </c>
      <c r="G31">
        <v>130.69999999999999</v>
      </c>
      <c r="H31">
        <v>25.62</v>
      </c>
    </row>
    <row r="32" spans="1:8">
      <c r="A32">
        <v>131.1</v>
      </c>
      <c r="B32">
        <v>28.71</v>
      </c>
      <c r="D32">
        <v>101.1</v>
      </c>
      <c r="E32">
        <v>34.6</v>
      </c>
      <c r="G32">
        <v>151.6</v>
      </c>
      <c r="H32">
        <v>22.57</v>
      </c>
    </row>
    <row r="33" spans="1:20">
      <c r="A33">
        <v>141.30000000000001</v>
      </c>
      <c r="B33">
        <v>26.91</v>
      </c>
      <c r="D33">
        <v>111.2</v>
      </c>
      <c r="E33">
        <v>31.77</v>
      </c>
      <c r="G33">
        <v>161.69999999999999</v>
      </c>
      <c r="H33">
        <v>21.39</v>
      </c>
    </row>
    <row r="34" spans="1:20">
      <c r="A34">
        <v>151.19999999999999</v>
      </c>
      <c r="B34">
        <v>25.16</v>
      </c>
      <c r="D34">
        <v>121.2</v>
      </c>
      <c r="E34">
        <v>29.48</v>
      </c>
      <c r="G34">
        <v>171.6</v>
      </c>
      <c r="H34">
        <v>20.38</v>
      </c>
    </row>
    <row r="35" spans="1:20">
      <c r="A35">
        <v>162</v>
      </c>
      <c r="B35">
        <v>23.72</v>
      </c>
      <c r="D35">
        <v>131</v>
      </c>
      <c r="E35">
        <v>27.55</v>
      </c>
      <c r="G35">
        <v>191.8</v>
      </c>
      <c r="H35">
        <v>18.420000000000002</v>
      </c>
    </row>
    <row r="36" spans="1:20">
      <c r="A36">
        <v>171.9</v>
      </c>
      <c r="B36">
        <v>22.34</v>
      </c>
      <c r="D36">
        <v>141.5</v>
      </c>
      <c r="E36">
        <v>25.79</v>
      </c>
      <c r="G36">
        <v>212.4</v>
      </c>
      <c r="H36">
        <v>16.82</v>
      </c>
    </row>
    <row r="37" spans="1:20">
      <c r="A37">
        <v>191.3</v>
      </c>
      <c r="B37">
        <v>20.29</v>
      </c>
      <c r="D37">
        <v>151.19999999999999</v>
      </c>
      <c r="E37">
        <v>24.38</v>
      </c>
      <c r="G37">
        <v>222.4</v>
      </c>
      <c r="H37">
        <v>16.07</v>
      </c>
    </row>
    <row r="38" spans="1:20">
      <c r="A38">
        <v>232.9</v>
      </c>
      <c r="B38">
        <v>16.829999999999998</v>
      </c>
      <c r="D38">
        <v>182.1</v>
      </c>
      <c r="E38">
        <v>20.46</v>
      </c>
      <c r="G38">
        <v>230.5</v>
      </c>
      <c r="H38">
        <v>15.5</v>
      </c>
    </row>
    <row r="39" spans="1:20">
      <c r="A39">
        <v>272.60000000000002</v>
      </c>
      <c r="B39">
        <v>14.53</v>
      </c>
      <c r="D39">
        <v>192.1</v>
      </c>
      <c r="E39">
        <v>19.59</v>
      </c>
      <c r="G39">
        <v>293.8</v>
      </c>
      <c r="H39">
        <v>12.42</v>
      </c>
    </row>
    <row r="40" spans="1:20">
      <c r="A40">
        <v>292.60000000000002</v>
      </c>
      <c r="B40">
        <v>13.53</v>
      </c>
      <c r="D40">
        <v>202.1</v>
      </c>
      <c r="E40">
        <v>18.62</v>
      </c>
      <c r="G40">
        <v>314.8</v>
      </c>
      <c r="H40">
        <v>11.71</v>
      </c>
    </row>
    <row r="41" spans="1:20">
      <c r="A41">
        <v>344.8</v>
      </c>
      <c r="B41">
        <v>11.6</v>
      </c>
      <c r="D41">
        <v>210.9</v>
      </c>
      <c r="E41">
        <v>17.850000000000001</v>
      </c>
      <c r="G41">
        <v>325.39999999999998</v>
      </c>
      <c r="H41">
        <v>11.33</v>
      </c>
    </row>
    <row r="42" spans="1:20">
      <c r="A42">
        <v>384.6</v>
      </c>
      <c r="B42">
        <v>10.4</v>
      </c>
      <c r="D42">
        <v>211.6</v>
      </c>
      <c r="E42">
        <v>17.16</v>
      </c>
      <c r="G42">
        <v>331</v>
      </c>
      <c r="H42">
        <v>11.14</v>
      </c>
    </row>
    <row r="43" spans="1:20" ht="14.4" thickBot="1"/>
    <row r="44" spans="1:20" ht="16.8" thickBot="1">
      <c r="D44" s="1">
        <v>0</v>
      </c>
      <c r="E44" s="2">
        <v>5.4</v>
      </c>
      <c r="F44" s="2">
        <v>9.6999999999999993</v>
      </c>
      <c r="G44" s="2">
        <v>13.9</v>
      </c>
      <c r="H44" s="2">
        <v>18.100000000000001</v>
      </c>
      <c r="I44" s="2">
        <v>22.4</v>
      </c>
      <c r="J44" s="2">
        <v>26.6</v>
      </c>
      <c r="K44" s="2">
        <v>30.9</v>
      </c>
      <c r="L44" s="2">
        <v>35.1</v>
      </c>
      <c r="M44" s="2">
        <v>39.4</v>
      </c>
      <c r="N44" s="2">
        <v>43.6</v>
      </c>
    </row>
    <row r="45" spans="1:20" ht="16.8" thickBot="1">
      <c r="D45" s="1">
        <v>0</v>
      </c>
      <c r="E45" s="2">
        <v>5.4</v>
      </c>
      <c r="F45" s="2">
        <v>9.6999999999999993</v>
      </c>
      <c r="G45" s="2">
        <v>13.9</v>
      </c>
      <c r="H45" s="2">
        <v>18.100000000000001</v>
      </c>
      <c r="I45" s="2">
        <v>22.4</v>
      </c>
      <c r="J45" s="2">
        <v>26.6</v>
      </c>
      <c r="K45" s="2">
        <v>30.9</v>
      </c>
      <c r="L45" s="2">
        <v>35.1</v>
      </c>
      <c r="M45" s="2">
        <v>39.4</v>
      </c>
      <c r="N45" s="2">
        <v>43.6</v>
      </c>
    </row>
    <row r="46" spans="1:20">
      <c r="D46">
        <f>(D44++D45)/2</f>
        <v>0</v>
      </c>
      <c r="E46">
        <f t="shared" ref="E46:I46" si="6">(E44++E45)/2</f>
        <v>5.4</v>
      </c>
      <c r="F46">
        <f t="shared" si="6"/>
        <v>9.6999999999999993</v>
      </c>
      <c r="G46">
        <f t="shared" si="6"/>
        <v>13.9</v>
      </c>
      <c r="H46">
        <f t="shared" si="6"/>
        <v>18.100000000000001</v>
      </c>
      <c r="I46">
        <f t="shared" si="6"/>
        <v>22.4</v>
      </c>
      <c r="J46">
        <f>(J44++J45)/2</f>
        <v>26.6</v>
      </c>
      <c r="K46">
        <f t="shared" ref="K46" si="7">(K44++K45)/2</f>
        <v>30.9</v>
      </c>
      <c r="L46">
        <f t="shared" ref="L46" si="8">(L44++L45)/2</f>
        <v>35.1</v>
      </c>
      <c r="M46">
        <f t="shared" ref="M46" si="9">(M44++M45)/2</f>
        <v>39.4</v>
      </c>
      <c r="N46">
        <f t="shared" ref="N46" si="10">(N44++N45)/2</f>
        <v>43.6</v>
      </c>
      <c r="O46">
        <f t="shared" ref="O46" si="11">(O44++O45)/2</f>
        <v>0</v>
      </c>
    </row>
    <row r="47" spans="1:20" ht="14.4" thickBot="1"/>
    <row r="48" spans="1:20" ht="16.8" thickBot="1">
      <c r="A48" s="7">
        <v>0.92</v>
      </c>
      <c r="B48" s="8">
        <v>1.95</v>
      </c>
      <c r="C48" s="8">
        <v>3.04</v>
      </c>
      <c r="D48" s="8">
        <v>4.07</v>
      </c>
      <c r="E48" s="8">
        <v>5.14</v>
      </c>
      <c r="F48" s="8">
        <v>6.19</v>
      </c>
      <c r="G48" s="8">
        <v>7.24</v>
      </c>
      <c r="H48" s="8">
        <v>8.32</v>
      </c>
      <c r="I48" s="8">
        <v>9.35</v>
      </c>
      <c r="J48" s="3">
        <v>0</v>
      </c>
      <c r="K48" s="4">
        <v>20</v>
      </c>
      <c r="L48" s="4">
        <v>40</v>
      </c>
      <c r="M48" s="4">
        <v>60</v>
      </c>
      <c r="N48" s="4">
        <v>80</v>
      </c>
      <c r="O48" s="4">
        <v>100</v>
      </c>
      <c r="P48" s="4">
        <v>120</v>
      </c>
      <c r="Q48" s="4">
        <v>140</v>
      </c>
      <c r="R48" s="4">
        <v>160</v>
      </c>
      <c r="S48" s="4">
        <v>180</v>
      </c>
      <c r="T48" s="4">
        <v>200</v>
      </c>
    </row>
    <row r="49" spans="1:20" ht="16.8" thickBot="1">
      <c r="A49">
        <v>0.5</v>
      </c>
      <c r="B49">
        <v>1</v>
      </c>
      <c r="C49">
        <v>1.5</v>
      </c>
      <c r="D49">
        <v>2</v>
      </c>
      <c r="E49">
        <v>2.5</v>
      </c>
      <c r="F49">
        <v>3</v>
      </c>
      <c r="G49">
        <v>3.5</v>
      </c>
      <c r="H49">
        <v>4</v>
      </c>
      <c r="I49">
        <v>4.5</v>
      </c>
      <c r="J49" s="5">
        <v>0</v>
      </c>
      <c r="K49" s="6">
        <v>16.899999999999999</v>
      </c>
      <c r="L49" s="6">
        <v>33.799999999999997</v>
      </c>
      <c r="M49" s="6">
        <v>50.8</v>
      </c>
      <c r="N49" s="6">
        <v>67.7</v>
      </c>
      <c r="O49" s="6">
        <v>84.6</v>
      </c>
      <c r="P49" s="6">
        <v>101.5</v>
      </c>
      <c r="Q49" s="6">
        <v>118.4</v>
      </c>
      <c r="R49" s="6">
        <v>135.30000000000001</v>
      </c>
      <c r="S49" s="6">
        <v>152.30000000000001</v>
      </c>
      <c r="T49" s="6">
        <v>169.2</v>
      </c>
    </row>
    <row r="50" spans="1:20" ht="16.8" thickBot="1">
      <c r="A50" s="7">
        <v>1.02</v>
      </c>
      <c r="B50" s="8">
        <v>2.0699999999999998</v>
      </c>
      <c r="C50" s="8">
        <v>3.15</v>
      </c>
      <c r="D50" s="8">
        <v>4.1399999999999997</v>
      </c>
      <c r="E50" s="8">
        <v>5.2</v>
      </c>
      <c r="F50" s="8">
        <v>6.26</v>
      </c>
      <c r="G50" s="8">
        <v>7.23</v>
      </c>
      <c r="H50" s="8">
        <v>8.2799999999999994</v>
      </c>
      <c r="I50" s="8">
        <v>9.33</v>
      </c>
      <c r="J50">
        <f>(J48++J49)/2</f>
        <v>0</v>
      </c>
      <c r="K50">
        <f t="shared" ref="K50" si="12">(K48++K49)/2</f>
        <v>18.45</v>
      </c>
      <c r="L50">
        <f t="shared" ref="L50" si="13">(L48++L49)/2</f>
        <v>36.9</v>
      </c>
      <c r="M50">
        <f t="shared" ref="M50" si="14">(M48++M49)/2</f>
        <v>55.4</v>
      </c>
      <c r="N50">
        <f t="shared" ref="N50" si="15">(N48++N49)/2</f>
        <v>73.849999999999994</v>
      </c>
      <c r="O50">
        <f t="shared" ref="O50" si="16">(O48++O49)/2</f>
        <v>92.3</v>
      </c>
      <c r="P50">
        <f>(P48++P49)/2</f>
        <v>110.75</v>
      </c>
      <c r="Q50">
        <f t="shared" ref="Q50" si="17">(Q48++Q49)/2</f>
        <v>129.19999999999999</v>
      </c>
      <c r="R50">
        <f t="shared" ref="R50" si="18">(R48++R49)/2</f>
        <v>147.65</v>
      </c>
      <c r="S50">
        <f t="shared" ref="S50" si="19">(S48++S49)/2</f>
        <v>166.15</v>
      </c>
      <c r="T50">
        <f t="shared" ref="T50" si="20">(T48++T49)/2</f>
        <v>184.6</v>
      </c>
    </row>
    <row r="51" spans="1:20">
      <c r="A51">
        <v>0.5</v>
      </c>
      <c r="B51">
        <v>1</v>
      </c>
      <c r="C51">
        <v>1.5</v>
      </c>
      <c r="D51">
        <v>2</v>
      </c>
      <c r="E51">
        <v>2.5</v>
      </c>
      <c r="F51">
        <v>3</v>
      </c>
      <c r="G51">
        <v>3.5</v>
      </c>
      <c r="H51">
        <v>4</v>
      </c>
      <c r="I51">
        <v>4.5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</dc:creator>
  <cp:lastModifiedBy>LiuY</cp:lastModifiedBy>
  <dcterms:created xsi:type="dcterms:W3CDTF">2020-04-13T08:46:23Z</dcterms:created>
  <dcterms:modified xsi:type="dcterms:W3CDTF">2020-05-30T02:35:24Z</dcterms:modified>
</cp:coreProperties>
</file>