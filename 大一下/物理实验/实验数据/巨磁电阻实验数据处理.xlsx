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anchengyun\BUPT\大一下\物理实验\"/>
    </mc:Choice>
  </mc:AlternateContent>
  <xr:revisionPtr revIDLastSave="0" documentId="8_{861A40EC-0D4A-4171-A602-A1DFD65E3291}" xr6:coauthVersionLast="47" xr6:coauthVersionMax="47" xr10:uidLastSave="{00000000-0000-0000-0000-000000000000}"/>
  <bookViews>
    <workbookView xWindow="-110" yWindow="-110" windowWidth="25820" windowHeight="15500" xr2:uid="{57B40172-AA61-4B49-89BA-3ED9216A1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G26" i="1"/>
  <c r="C26" i="1"/>
  <c r="C27" i="1"/>
  <c r="G3" i="1"/>
  <c r="C20" i="1"/>
  <c r="D20" i="1"/>
  <c r="E20" i="1"/>
  <c r="F20" i="1"/>
  <c r="G20" i="1"/>
  <c r="H20" i="1"/>
  <c r="I20" i="1"/>
  <c r="J20" i="1"/>
  <c r="K20" i="1"/>
  <c r="L20" i="1"/>
  <c r="M20" i="1"/>
  <c r="B20" i="1"/>
  <c r="B5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B14" i="1"/>
  <c r="B7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B12" i="1"/>
  <c r="G10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N5" i="1"/>
  <c r="L5" i="1"/>
  <c r="G5" i="1"/>
  <c r="H5" i="1"/>
  <c r="I5" i="1"/>
  <c r="J5" i="1"/>
  <c r="K5" i="1"/>
  <c r="M5" i="1"/>
  <c r="O5" i="1"/>
  <c r="P5" i="1"/>
  <c r="Q5" i="1"/>
  <c r="R5" i="1"/>
  <c r="S5" i="1"/>
  <c r="T5" i="1"/>
  <c r="U5" i="1"/>
  <c r="V5" i="1"/>
  <c r="W5" i="1"/>
  <c r="X5" i="1"/>
  <c r="C5" i="1"/>
  <c r="D5" i="1"/>
  <c r="E5" i="1"/>
  <c r="F5" i="1"/>
</calcChain>
</file>

<file path=xl/sharedStrings.xml><?xml version="1.0" encoding="utf-8"?>
<sst xmlns="http://schemas.openxmlformats.org/spreadsheetml/2006/main" count="29" uniqueCount="18">
  <si>
    <t>GMR磁阻特性测量</t>
    <phoneticPr fontId="1" type="noConversion"/>
  </si>
  <si>
    <t>减小磁场</t>
    <phoneticPr fontId="1" type="noConversion"/>
  </si>
  <si>
    <t>励磁电流</t>
    <phoneticPr fontId="1" type="noConversion"/>
  </si>
  <si>
    <t>励磁电流(mA)</t>
    <phoneticPr fontId="1" type="noConversion"/>
  </si>
  <si>
    <t>磁感应强度B(Gs)</t>
    <phoneticPr fontId="1" type="noConversion"/>
  </si>
  <si>
    <t>磁阻电流(mA)</t>
    <phoneticPr fontId="1" type="noConversion"/>
  </si>
  <si>
    <t>磁阻R(Ω)</t>
    <phoneticPr fontId="1" type="noConversion"/>
  </si>
  <si>
    <t>增大磁场</t>
    <phoneticPr fontId="1" type="noConversion"/>
  </si>
  <si>
    <t>GMR模拟传感器磁电转化特性的测量</t>
    <phoneticPr fontId="1" type="noConversion"/>
  </si>
  <si>
    <t>输出电压U(mV)</t>
    <phoneticPr fontId="1" type="noConversion"/>
  </si>
  <si>
    <t>GMR开关传感器的磁电转换特性</t>
    <phoneticPr fontId="1" type="noConversion"/>
  </si>
  <si>
    <t>关</t>
    <phoneticPr fontId="1" type="noConversion"/>
  </si>
  <si>
    <t>开</t>
    <phoneticPr fontId="1" type="noConversion"/>
  </si>
  <si>
    <t>磁感应强度</t>
    <phoneticPr fontId="1" type="noConversion"/>
  </si>
  <si>
    <t>齿轮角位移的测量</t>
    <phoneticPr fontId="1" type="noConversion"/>
  </si>
  <si>
    <t>转动角度</t>
    <phoneticPr fontId="1" type="noConversion"/>
  </si>
  <si>
    <t>输出电压</t>
    <phoneticPr fontId="1" type="noConversion"/>
  </si>
  <si>
    <t>转过角度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</si>
</sst>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GMR</a:t>
            </a:r>
            <a:r>
              <a:rPr lang="zh-CN" altLang="en-US"/>
              <a:t>磁阻特性</a:t>
            </a:r>
            <a:r>
              <a:rPr lang="en-US" altLang="zh-CN"/>
              <a:t>R-B</a:t>
            </a:r>
            <a:r>
              <a:rPr lang="zh-CN" altLang="en-US"/>
              <a:t>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405666663210356"/>
          <c:y val="0.14136612851339628"/>
          <c:w val="0.7736977285496428"/>
          <c:h val="0.70034829327937409"/>
        </c:manualLayout>
      </c:layout>
      <c:scatterChart>
        <c:scatterStyle val="lineMarker"/>
        <c:varyColors val="0"/>
        <c:ser>
          <c:idx val="0"/>
          <c:order val="0"/>
          <c:tx>
            <c:v>减小磁场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Sheet1!$B$5:$X$5</c:f>
              <c:numCache>
                <c:formatCode>0.00</c:formatCode>
                <c:ptCount val="23"/>
                <c:pt idx="0">
                  <c:v>30.159289474462014</c:v>
                </c:pt>
                <c:pt idx="1">
                  <c:v>27.143360527015812</c:v>
                </c:pt>
                <c:pt idx="2">
                  <c:v>24.12743157956961</c:v>
                </c:pt>
                <c:pt idx="3">
                  <c:v>21.111502632123411</c:v>
                </c:pt>
                <c:pt idx="4">
                  <c:v>18.095573684677209</c:v>
                </c:pt>
                <c:pt idx="5">
                  <c:v>15.079644737231007</c:v>
                </c:pt>
                <c:pt idx="6">
                  <c:v>12.063715789784805</c:v>
                </c:pt>
                <c:pt idx="7">
                  <c:v>9.0477868423386045</c:v>
                </c:pt>
                <c:pt idx="8">
                  <c:v>6.0318578948924024</c:v>
                </c:pt>
                <c:pt idx="9">
                  <c:v>3.0159289474462012</c:v>
                </c:pt>
                <c:pt idx="10">
                  <c:v>1.5079644737231006</c:v>
                </c:pt>
                <c:pt idx="11">
                  <c:v>0</c:v>
                </c:pt>
                <c:pt idx="12">
                  <c:v>-1.5079644737231006</c:v>
                </c:pt>
                <c:pt idx="13">
                  <c:v>-3.0159289474462012</c:v>
                </c:pt>
                <c:pt idx="14">
                  <c:v>-6.0318578948924024</c:v>
                </c:pt>
                <c:pt idx="15">
                  <c:v>-9.0477868423386045</c:v>
                </c:pt>
                <c:pt idx="16">
                  <c:v>-12.063715789784805</c:v>
                </c:pt>
                <c:pt idx="17">
                  <c:v>-15.079644737231007</c:v>
                </c:pt>
                <c:pt idx="18">
                  <c:v>-18.095573684677209</c:v>
                </c:pt>
                <c:pt idx="19">
                  <c:v>-21.111502632123411</c:v>
                </c:pt>
                <c:pt idx="20">
                  <c:v>-24.12743157956961</c:v>
                </c:pt>
                <c:pt idx="21">
                  <c:v>-27.143360527015812</c:v>
                </c:pt>
                <c:pt idx="22">
                  <c:v>-30.159289474462014</c:v>
                </c:pt>
              </c:numCache>
            </c:numRef>
          </c:xVal>
          <c:yVal>
            <c:numRef>
              <c:f>Sheet1!$B$7:$X$7</c:f>
              <c:numCache>
                <c:formatCode>0.00</c:formatCode>
                <c:ptCount val="23"/>
                <c:pt idx="0">
                  <c:v>1990.0497512437814</c:v>
                </c:pt>
                <c:pt idx="1">
                  <c:v>2030.456852791878</c:v>
                </c:pt>
                <c:pt idx="2">
                  <c:v>2061.855670103093</c:v>
                </c:pt>
                <c:pt idx="3">
                  <c:v>2083.3333333333335</c:v>
                </c:pt>
                <c:pt idx="4">
                  <c:v>2116.4021164021169</c:v>
                </c:pt>
                <c:pt idx="5">
                  <c:v>2150.5376344086021</c:v>
                </c:pt>
                <c:pt idx="6">
                  <c:v>2185.7923497267757</c:v>
                </c:pt>
                <c:pt idx="7">
                  <c:v>2234.63687150838</c:v>
                </c:pt>
                <c:pt idx="8">
                  <c:v>2285.7142857142858</c:v>
                </c:pt>
                <c:pt idx="9">
                  <c:v>2325.5813953488373</c:v>
                </c:pt>
                <c:pt idx="10">
                  <c:v>2352.9411764705883</c:v>
                </c:pt>
                <c:pt idx="11">
                  <c:v>2366.8639053254437</c:v>
                </c:pt>
                <c:pt idx="12">
                  <c:v>2352.9411764705883</c:v>
                </c:pt>
                <c:pt idx="13">
                  <c:v>2339.1812865497077</c:v>
                </c:pt>
                <c:pt idx="14">
                  <c:v>2298.8505747126437</c:v>
                </c:pt>
                <c:pt idx="15">
                  <c:v>2247.1910112359551</c:v>
                </c:pt>
                <c:pt idx="16">
                  <c:v>2209.9447513812156</c:v>
                </c:pt>
                <c:pt idx="17">
                  <c:v>2173.9130434782605</c:v>
                </c:pt>
                <c:pt idx="18">
                  <c:v>2139.0374331550797</c:v>
                </c:pt>
                <c:pt idx="19">
                  <c:v>2116.4021164021169</c:v>
                </c:pt>
                <c:pt idx="20">
                  <c:v>2094.2408376963349</c:v>
                </c:pt>
                <c:pt idx="21">
                  <c:v>2094.2408376963349</c:v>
                </c:pt>
                <c:pt idx="22">
                  <c:v>2083.3333333333335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59-46FC-B120-3B2BC6A40CE2}"/>
            </c:ext>
          </c:extLst>
        </c:ser>
        <c:ser>
          <c:idx val="1"/>
          <c:order val="1"/>
          <c:tx>
            <c:v>增大磁场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Sheet1!$B$12:$X$12</c:f>
              <c:numCache>
                <c:formatCode>0.00</c:formatCode>
                <c:ptCount val="23"/>
                <c:pt idx="0">
                  <c:v>-30.159289474462014</c:v>
                </c:pt>
                <c:pt idx="1">
                  <c:v>-27.143360527015812</c:v>
                </c:pt>
                <c:pt idx="2">
                  <c:v>-24.12743157956961</c:v>
                </c:pt>
                <c:pt idx="3">
                  <c:v>-21.111502632123411</c:v>
                </c:pt>
                <c:pt idx="4">
                  <c:v>-18.095573684677209</c:v>
                </c:pt>
                <c:pt idx="5">
                  <c:v>-15.079644737231007</c:v>
                </c:pt>
                <c:pt idx="6">
                  <c:v>-12.063715789784805</c:v>
                </c:pt>
                <c:pt idx="7">
                  <c:v>-9.0477868423386045</c:v>
                </c:pt>
                <c:pt idx="8">
                  <c:v>-6.0318578948924024</c:v>
                </c:pt>
                <c:pt idx="9">
                  <c:v>-3.0159289474462012</c:v>
                </c:pt>
                <c:pt idx="10">
                  <c:v>-1.5079644737231006</c:v>
                </c:pt>
                <c:pt idx="11">
                  <c:v>0</c:v>
                </c:pt>
                <c:pt idx="12">
                  <c:v>1.5079644737231006</c:v>
                </c:pt>
                <c:pt idx="13">
                  <c:v>3.0159289474462012</c:v>
                </c:pt>
                <c:pt idx="14">
                  <c:v>6.0318578948924024</c:v>
                </c:pt>
                <c:pt idx="15">
                  <c:v>9.0477868423386045</c:v>
                </c:pt>
                <c:pt idx="16">
                  <c:v>12.063715789784805</c:v>
                </c:pt>
                <c:pt idx="17">
                  <c:v>15.079644737231007</c:v>
                </c:pt>
                <c:pt idx="18">
                  <c:v>18.095573684677209</c:v>
                </c:pt>
                <c:pt idx="19">
                  <c:v>21.111502632123411</c:v>
                </c:pt>
                <c:pt idx="20">
                  <c:v>24.12743157956961</c:v>
                </c:pt>
                <c:pt idx="21">
                  <c:v>27.143360527015812</c:v>
                </c:pt>
                <c:pt idx="22">
                  <c:v>30.159289474462014</c:v>
                </c:pt>
              </c:numCache>
            </c:numRef>
          </c:xVal>
          <c:yVal>
            <c:numRef>
              <c:f>Sheet1!$B$14:$X$14</c:f>
              <c:numCache>
                <c:formatCode>0.00</c:formatCode>
                <c:ptCount val="23"/>
                <c:pt idx="0">
                  <c:v>2094.2408376963349</c:v>
                </c:pt>
                <c:pt idx="1">
                  <c:v>2094.2408376963349</c:v>
                </c:pt>
                <c:pt idx="2">
                  <c:v>2105.2631578947367</c:v>
                </c:pt>
                <c:pt idx="3">
                  <c:v>2116.4021164021169</c:v>
                </c:pt>
                <c:pt idx="4">
                  <c:v>2139.0374331550797</c:v>
                </c:pt>
                <c:pt idx="5">
                  <c:v>2173.9130434782605</c:v>
                </c:pt>
                <c:pt idx="6">
                  <c:v>2209.9447513812156</c:v>
                </c:pt>
                <c:pt idx="7">
                  <c:v>2259.8870056497176</c:v>
                </c:pt>
                <c:pt idx="8">
                  <c:v>2298.8505747126437</c:v>
                </c:pt>
                <c:pt idx="9">
                  <c:v>2339.1812865497077</c:v>
                </c:pt>
                <c:pt idx="10">
                  <c:v>2366.8639053254437</c:v>
                </c:pt>
                <c:pt idx="11">
                  <c:v>2380.9523809523807</c:v>
                </c:pt>
                <c:pt idx="12">
                  <c:v>2380.9523809523807</c:v>
                </c:pt>
                <c:pt idx="13">
                  <c:v>2366.8639053254437</c:v>
                </c:pt>
                <c:pt idx="14">
                  <c:v>2312.1387283236995</c:v>
                </c:pt>
                <c:pt idx="15">
                  <c:v>2272.727272727273</c:v>
                </c:pt>
                <c:pt idx="16">
                  <c:v>2222.2222222222222</c:v>
                </c:pt>
                <c:pt idx="17">
                  <c:v>2185.7923497267757</c:v>
                </c:pt>
                <c:pt idx="18">
                  <c:v>2150.5376344086021</c:v>
                </c:pt>
                <c:pt idx="19">
                  <c:v>2116.4021164021169</c:v>
                </c:pt>
                <c:pt idx="20">
                  <c:v>2105.2631578947367</c:v>
                </c:pt>
                <c:pt idx="21">
                  <c:v>2094.2408376963349</c:v>
                </c:pt>
                <c:pt idx="22">
                  <c:v>2083.3333333333335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59-46FC-B120-3B2BC6A40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631696"/>
        <c:axId val="902636496"/>
      </c:scatterChart>
      <c:valAx>
        <c:axId val="902631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磁阻</a:t>
                </a:r>
                <a:r>
                  <a:rPr lang="en-US" altLang="zh-CN" sz="1000" b="0" i="0" u="none" strike="noStrike" baseline="0">
                    <a:effectLst/>
                  </a:rPr>
                  <a:t>R(</a:t>
                </a:r>
                <a:r>
                  <a:rPr lang="el-GR" altLang="zh-CN" sz="1000" b="0" i="0" u="none" strike="noStrike" baseline="0">
                    <a:effectLst/>
                  </a:rPr>
                  <a:t>Ω)</a:t>
                </a:r>
                <a:r>
                  <a:rPr lang="el-GR" altLang="zh-CN" sz="1000" b="0" i="0" u="none" strike="noStrike" baseline="0"/>
                  <a:t> 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81435529589685762"/>
              <c:y val="0.917301003546835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636496"/>
        <c:crosses val="autoZero"/>
        <c:crossBetween val="midCat"/>
      </c:valAx>
      <c:valAx>
        <c:axId val="9026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磁感应强度</a:t>
                </a:r>
                <a:r>
                  <a:rPr lang="en-US" altLang="zh-CN" sz="1000" b="0" i="0" u="none" strike="noStrike" baseline="0">
                    <a:effectLst/>
                  </a:rPr>
                  <a:t>B(Gs)</a:t>
                </a:r>
                <a:r>
                  <a:rPr lang="en-US" altLang="zh-CN" sz="1000" b="0" i="0" u="none" strike="noStrike" baseline="0"/>
                  <a:t> 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17275803391103678"/>
              <c:y val="0.1135706938814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2631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模拟传感器磁电转化</a:t>
            </a:r>
            <a:r>
              <a:rPr lang="en-US" altLang="zh-CN"/>
              <a:t>U-B</a:t>
            </a:r>
            <a:r>
              <a:rPr lang="zh-CN" altLang="en-US"/>
              <a:t>特性曲线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0146981627296588"/>
          <c:y val="0.18039370078740158"/>
          <c:w val="0.83948862642169719"/>
          <c:h val="0.6078087634878973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Sheet1!$A$21</c:f>
              <c:strCache>
                <c:ptCount val="1"/>
                <c:pt idx="0">
                  <c:v>输出电压U(mV)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Sheet1!$B$20:$X$20</c:f>
              <c:numCache>
                <c:formatCode>0.00</c:formatCode>
                <c:ptCount val="23"/>
                <c:pt idx="0">
                  <c:v>0</c:v>
                </c:pt>
                <c:pt idx="1">
                  <c:v>1.5079644737231006</c:v>
                </c:pt>
                <c:pt idx="2">
                  <c:v>3.0159289474462012</c:v>
                </c:pt>
                <c:pt idx="3">
                  <c:v>6.0318578948924024</c:v>
                </c:pt>
                <c:pt idx="4">
                  <c:v>9.0477868423386045</c:v>
                </c:pt>
                <c:pt idx="5">
                  <c:v>12.063715789784805</c:v>
                </c:pt>
                <c:pt idx="6">
                  <c:v>15.079644737231007</c:v>
                </c:pt>
                <c:pt idx="7">
                  <c:v>18.095573684677209</c:v>
                </c:pt>
                <c:pt idx="8">
                  <c:v>21.111502632123411</c:v>
                </c:pt>
                <c:pt idx="9">
                  <c:v>24.12743157956961</c:v>
                </c:pt>
                <c:pt idx="10">
                  <c:v>27.143360527015812</c:v>
                </c:pt>
                <c:pt idx="11">
                  <c:v>30.159289474462014</c:v>
                </c:pt>
              </c:numCache>
            </c:numRef>
          </c:xVal>
          <c:yVal>
            <c:numRef>
              <c:f>Sheet1!$B$21:$X$21</c:f>
              <c:numCache>
                <c:formatCode>General</c:formatCode>
                <c:ptCount val="23"/>
                <c:pt idx="0">
                  <c:v>7.6</c:v>
                </c:pt>
                <c:pt idx="1">
                  <c:v>20.3</c:v>
                </c:pt>
                <c:pt idx="2">
                  <c:v>36.1</c:v>
                </c:pt>
                <c:pt idx="3">
                  <c:v>70.2</c:v>
                </c:pt>
                <c:pt idx="4">
                  <c:v>106.9</c:v>
                </c:pt>
                <c:pt idx="5">
                  <c:v>142.5</c:v>
                </c:pt>
                <c:pt idx="6">
                  <c:v>176.1</c:v>
                </c:pt>
                <c:pt idx="7">
                  <c:v>206</c:v>
                </c:pt>
                <c:pt idx="8">
                  <c:v>230</c:v>
                </c:pt>
                <c:pt idx="9">
                  <c:v>246</c:v>
                </c:pt>
                <c:pt idx="10">
                  <c:v>254</c:v>
                </c:pt>
                <c:pt idx="11">
                  <c:v>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EF-413A-ACA0-381A9F6A2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0566016"/>
        <c:axId val="1010566976"/>
      </c:scatterChart>
      <c:valAx>
        <c:axId val="101056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磁感应强度</a:t>
                </a: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B(Gs)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76326968503936998"/>
              <c:y val="0.86782407407407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0566976"/>
        <c:crosses val="autoZero"/>
        <c:crossBetween val="midCat"/>
      </c:valAx>
      <c:valAx>
        <c:axId val="101056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输出电压</a:t>
                </a:r>
                <a:r>
                  <a:rPr lang="en-US" altLang="zh-CN" sz="1000" b="0" i="0" u="none" strike="noStrike" baseline="0">
                    <a:effectLst/>
                  </a:rPr>
                  <a:t>U(mV)</a:t>
                </a:r>
                <a:r>
                  <a:rPr lang="en-US" altLang="zh-CN" sz="1000" b="0" i="0" u="none" strike="noStrike" baseline="0"/>
                  <a:t> 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8.0555555555555561E-2"/>
              <c:y val="9.876567512394283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056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开关传感器的磁电转换特性</a:t>
            </a:r>
            <a:r>
              <a:rPr lang="en-US" altLang="zh-CN"/>
              <a:t>U-B</a:t>
            </a:r>
            <a:r>
              <a:rPr lang="zh-CN" altLang="en-US"/>
              <a:t>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5216727748782727E-2"/>
          <c:y val="0.18414723477651349"/>
          <c:w val="0.92788547365768115"/>
          <c:h val="0.68891040765155265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Sheet1!$F$33:$G$33</c:f>
              <c:numCache>
                <c:formatCode>General</c:formatCode>
                <c:ptCount val="2"/>
                <c:pt idx="0">
                  <c:v>4.34</c:v>
                </c:pt>
                <c:pt idx="1">
                  <c:v>4.34</c:v>
                </c:pt>
              </c:numCache>
            </c:numRef>
          </c:xVal>
          <c:yVal>
            <c:numRef>
              <c:f>Sheet1!$F$32:$G$32</c:f>
              <c:numCache>
                <c:formatCode>0.00</c:formatCode>
                <c:ptCount val="2"/>
                <c:pt idx="0" formatCode="General">
                  <c:v>-6.71</c:v>
                </c:pt>
                <c:pt idx="1">
                  <c:v>7.56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F3-4325-AB15-25DBE16191D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Sheet1!$F$34:$G$34</c:f>
              <c:numCache>
                <c:formatCode>General</c:formatCode>
                <c:ptCount val="2"/>
                <c:pt idx="0">
                  <c:v>-5.67</c:v>
                </c:pt>
                <c:pt idx="1">
                  <c:v>-5.67</c:v>
                </c:pt>
              </c:numCache>
            </c:numRef>
          </c:xVal>
          <c:yVal>
            <c:numRef>
              <c:f>Sheet1!$F$32:$G$32</c:f>
              <c:numCache>
                <c:formatCode>0.00</c:formatCode>
                <c:ptCount val="2"/>
                <c:pt idx="0" formatCode="General">
                  <c:v>-6.71</c:v>
                </c:pt>
                <c:pt idx="1">
                  <c:v>7.56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F3-4325-AB15-25DBE16191D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Sheet1!$F$35:$G$35</c:f>
              <c:numCache>
                <c:formatCode>General</c:formatCode>
                <c:ptCount val="2"/>
                <c:pt idx="0">
                  <c:v>-4.67</c:v>
                </c:pt>
                <c:pt idx="1">
                  <c:v>-4.67</c:v>
                </c:pt>
              </c:numCache>
            </c:numRef>
          </c:xVal>
          <c:yVal>
            <c:numRef>
              <c:f>Sheet1!$F$32:$G$32</c:f>
              <c:numCache>
                <c:formatCode>0.00</c:formatCode>
                <c:ptCount val="2"/>
                <c:pt idx="0" formatCode="General">
                  <c:v>-6.71</c:v>
                </c:pt>
                <c:pt idx="1">
                  <c:v>7.56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F3-4325-AB15-25DBE16191D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Sheet1!$F$36:$G$36</c:f>
              <c:numCache>
                <c:formatCode>0.00</c:formatCode>
                <c:ptCount val="2"/>
                <c:pt idx="0">
                  <c:v>5.4</c:v>
                </c:pt>
                <c:pt idx="1">
                  <c:v>5.4</c:v>
                </c:pt>
              </c:numCache>
            </c:numRef>
          </c:xVal>
          <c:yVal>
            <c:numRef>
              <c:f>Sheet1!$F$32:$G$32</c:f>
              <c:numCache>
                <c:formatCode>0.00</c:formatCode>
                <c:ptCount val="2"/>
                <c:pt idx="0" formatCode="General">
                  <c:v>-6.71</c:v>
                </c:pt>
                <c:pt idx="1">
                  <c:v>7.56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F3-4325-AB15-25DBE1619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3356080"/>
        <c:axId val="1033358000"/>
      </c:scatterChart>
      <c:valAx>
        <c:axId val="1033356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磁感应强度（</a:t>
                </a:r>
                <a:r>
                  <a:rPr lang="en-US" altLang="zh-CN"/>
                  <a:t>Gs</a:t>
                </a:r>
                <a:r>
                  <a:rPr lang="zh-CN" altLang="en-US"/>
                  <a:t>）</a:t>
                </a:r>
              </a:p>
            </c:rich>
          </c:tx>
          <c:layout>
            <c:manualLayout>
              <c:xMode val="edge"/>
              <c:yMode val="edge"/>
              <c:x val="0.74515521683276098"/>
              <c:y val="0.902973277832824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358000"/>
        <c:crosses val="autoZero"/>
        <c:crossBetween val="midCat"/>
      </c:valAx>
      <c:valAx>
        <c:axId val="103335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输出电压（</a:t>
                </a:r>
                <a:r>
                  <a:rPr lang="en-US" altLang="zh-CN"/>
                  <a:t>V</a:t>
                </a:r>
                <a:r>
                  <a:rPr lang="zh-CN" altLang="en-US"/>
                  <a:t>）</a:t>
                </a:r>
              </a:p>
            </c:rich>
          </c:tx>
          <c:layout>
            <c:manualLayout>
              <c:xMode val="edge"/>
              <c:yMode val="edge"/>
              <c:x val="2.7784486892723004E-2"/>
              <c:y val="0.125427981704133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335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GMR</a:t>
            </a:r>
            <a:r>
              <a:rPr lang="zh-CN" altLang="en-US"/>
              <a:t>梯度传感器检测齿轮位移相应曲线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7590295637481774E-2"/>
          <c:y val="0.17836113032405213"/>
          <c:w val="0.8691828587965772"/>
          <c:h val="0.77334660678236244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Sheet1!$B$41:$U$41</c:f>
              <c:numCache>
                <c:formatCode>General</c:formatCode>
                <c:ptCount val="20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</c:numCache>
            </c:numRef>
          </c:xVal>
          <c:yVal>
            <c:numRef>
              <c:f>Sheet1!$B$42:$U$42</c:f>
              <c:numCache>
                <c:formatCode>General</c:formatCode>
                <c:ptCount val="20"/>
                <c:pt idx="0">
                  <c:v>0</c:v>
                </c:pt>
                <c:pt idx="1">
                  <c:v>34.700000000000003</c:v>
                </c:pt>
                <c:pt idx="2">
                  <c:v>68</c:v>
                </c:pt>
                <c:pt idx="3">
                  <c:v>73.400000000000006</c:v>
                </c:pt>
                <c:pt idx="4">
                  <c:v>21.6</c:v>
                </c:pt>
                <c:pt idx="5">
                  <c:v>-52.7</c:v>
                </c:pt>
                <c:pt idx="6">
                  <c:v>-68.599999999999994</c:v>
                </c:pt>
                <c:pt idx="7">
                  <c:v>-43.4</c:v>
                </c:pt>
                <c:pt idx="8">
                  <c:v>-3.3</c:v>
                </c:pt>
                <c:pt idx="9">
                  <c:v>32.5</c:v>
                </c:pt>
                <c:pt idx="10">
                  <c:v>65.900000000000006</c:v>
                </c:pt>
                <c:pt idx="11">
                  <c:v>72.400000000000006</c:v>
                </c:pt>
                <c:pt idx="12">
                  <c:v>17.100000000000001</c:v>
                </c:pt>
                <c:pt idx="13">
                  <c:v>-52.1</c:v>
                </c:pt>
                <c:pt idx="14">
                  <c:v>-66.400000000000006</c:v>
                </c:pt>
                <c:pt idx="15">
                  <c:v>-36.9</c:v>
                </c:pt>
                <c:pt idx="16">
                  <c:v>-4.0999999999999996</c:v>
                </c:pt>
                <c:pt idx="17">
                  <c:v>27.9</c:v>
                </c:pt>
                <c:pt idx="18">
                  <c:v>66.400000000000006</c:v>
                </c:pt>
                <c:pt idx="19">
                  <c:v>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26-4BE1-A256-6D3C12AE3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2147104"/>
        <c:axId val="1021150768"/>
      </c:scatterChart>
      <c:valAx>
        <c:axId val="103214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齿轮转过角度（</a:t>
                </a:r>
                <a:r>
                  <a:rPr lang="en-US" altLang="zh-CN"/>
                  <a:t>°</a:t>
                </a:r>
                <a:r>
                  <a:rPr lang="zh-CN" altLang="en-US"/>
                  <a:t>）</a:t>
                </a:r>
              </a:p>
            </c:rich>
          </c:tx>
          <c:layout>
            <c:manualLayout>
              <c:xMode val="edge"/>
              <c:yMode val="edge"/>
              <c:x val="0.75048731152566406"/>
              <c:y val="0.649595002416685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150768"/>
        <c:crosses val="autoZero"/>
        <c:crossBetween val="midCat"/>
      </c:valAx>
      <c:valAx>
        <c:axId val="102115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输出电压（</a:t>
                </a:r>
                <a:r>
                  <a:rPr lang="en-US" altLang="zh-CN"/>
                  <a:t>mV</a:t>
                </a:r>
                <a:r>
                  <a:rPr lang="zh-CN" altLang="en-US"/>
                  <a:t>）</a:t>
                </a:r>
              </a:p>
            </c:rich>
          </c:tx>
          <c:layout>
            <c:manualLayout>
              <c:xMode val="edge"/>
              <c:yMode val="edge"/>
              <c:x val="6.9451872695920458E-2"/>
              <c:y val="0.126627478274158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3214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53</xdr:row>
      <xdr:rowOff>42617</xdr:rowOff>
    </xdr:from>
    <xdr:to>
      <xdr:col>4</xdr:col>
      <xdr:colOff>1041774</xdr:colOff>
      <xdr:row>70</xdr:row>
      <xdr:rowOff>112841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5558F3D-926A-9949-44D1-DD9195455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116120</xdr:colOff>
      <xdr:row>54</xdr:row>
      <xdr:rowOff>128642</xdr:rowOff>
    </xdr:from>
    <xdr:to>
      <xdr:col>9</xdr:col>
      <xdr:colOff>218697</xdr:colOff>
      <xdr:row>70</xdr:row>
      <xdr:rowOff>58303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07C1DC9-C16B-B2F9-BD85-6A910716F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1098550</xdr:colOff>
      <xdr:row>73</xdr:row>
      <xdr:rowOff>173960</xdr:rowOff>
    </xdr:from>
    <xdr:to>
      <xdr:col>5</xdr:col>
      <xdr:colOff>11596</xdr:colOff>
      <xdr:row>89</xdr:row>
      <xdr:rowOff>85411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91FA2F05-6638-C4A8-D3F6-D723757657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633163</xdr:colOff>
      <xdr:row>74</xdr:row>
      <xdr:rowOff>689</xdr:rowOff>
    </xdr:from>
    <xdr:to>
      <xdr:col>9</xdr:col>
      <xdr:colOff>740624</xdr:colOff>
      <xdr:row>89</xdr:row>
      <xdr:rowOff>108150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88617F6-B6DF-5276-7139-A74F01527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552A-CA43-4C03-AB65-D1F69254766C}">
  <dimension ref="A1:X42"/>
  <sheetViews>
    <sheetView tabSelected="1" zoomScale="40" zoomScaleNormal="40" workbookViewId="0">
      <selection activeCell="D51" sqref="D51"/>
    </sheetView>
  </sheetViews>
  <sheetFormatPr defaultRowHeight="14" x14ac:dyDescent="0.3"/>
  <cols>
    <col min="1" max="1" width="14.58203125" customWidth="1"/>
    <col min="2" max="8" width="14.9140625" bestFit="1" customWidth="1"/>
    <col min="9" max="13" width="13.83203125" bestFit="1" customWidth="1"/>
    <col min="14" max="17" width="14.83203125" bestFit="1" customWidth="1"/>
    <col min="18" max="24" width="15.9140625" bestFit="1" customWidth="1"/>
  </cols>
  <sheetData>
    <row r="1" spans="1:24" ht="20" x14ac:dyDescent="0.3">
      <c r="A1" s="4" t="s">
        <v>0</v>
      </c>
      <c r="B1" s="4"/>
      <c r="C1" s="4"/>
      <c r="D1" s="4"/>
      <c r="E1" s="4"/>
    </row>
    <row r="3" spans="1:24" x14ac:dyDescent="0.3">
      <c r="A3" s="1" t="s">
        <v>1</v>
      </c>
      <c r="B3" s="1"/>
      <c r="C3" s="1"/>
      <c r="D3" s="1"/>
      <c r="G3">
        <f>24000*4*PI()*0.0000001*10</f>
        <v>0.30159289474462014</v>
      </c>
    </row>
    <row r="4" spans="1:24" x14ac:dyDescent="0.3">
      <c r="A4" t="s">
        <v>3</v>
      </c>
      <c r="B4">
        <v>100</v>
      </c>
      <c r="C4">
        <v>90</v>
      </c>
      <c r="D4">
        <v>80</v>
      </c>
      <c r="E4">
        <v>70</v>
      </c>
      <c r="F4">
        <v>60</v>
      </c>
      <c r="G4">
        <v>50</v>
      </c>
      <c r="H4">
        <v>40</v>
      </c>
      <c r="I4">
        <v>30</v>
      </c>
      <c r="J4">
        <v>20</v>
      </c>
      <c r="K4">
        <v>10</v>
      </c>
      <c r="L4">
        <v>5</v>
      </c>
      <c r="M4">
        <v>0</v>
      </c>
      <c r="N4">
        <v>-5</v>
      </c>
      <c r="O4">
        <v>-10</v>
      </c>
      <c r="P4">
        <v>-20</v>
      </c>
      <c r="Q4">
        <v>-30</v>
      </c>
      <c r="R4">
        <v>-40</v>
      </c>
      <c r="S4">
        <v>-50</v>
      </c>
      <c r="T4">
        <v>-60</v>
      </c>
      <c r="U4">
        <v>-70</v>
      </c>
      <c r="V4">
        <v>-80</v>
      </c>
      <c r="W4">
        <v>-90</v>
      </c>
      <c r="X4">
        <v>-100</v>
      </c>
    </row>
    <row r="5" spans="1:24" x14ac:dyDescent="0.3">
      <c r="A5" t="s">
        <v>4</v>
      </c>
      <c r="B5" s="2">
        <f>B4*24000*4*PI()*0.0000001*10</f>
        <v>30.159289474462014</v>
      </c>
      <c r="C5" s="2">
        <f t="shared" ref="C5:G5" si="0">C4*24000*4*PI()*0.0000001*10</f>
        <v>27.143360527015812</v>
      </c>
      <c r="D5" s="2">
        <f t="shared" si="0"/>
        <v>24.12743157956961</v>
      </c>
      <c r="E5" s="2">
        <f t="shared" si="0"/>
        <v>21.111502632123411</v>
      </c>
      <c r="F5" s="2">
        <f t="shared" si="0"/>
        <v>18.095573684677209</v>
      </c>
      <c r="G5" s="2">
        <f t="shared" si="0"/>
        <v>15.079644737231007</v>
      </c>
      <c r="H5" s="2">
        <f t="shared" ref="H5" si="1">H4*24000*4*PI()*0.0000001*10</f>
        <v>12.063715789784805</v>
      </c>
      <c r="I5" s="2">
        <f t="shared" ref="I5" si="2">I4*24000*4*PI()*0.0000001*10</f>
        <v>9.0477868423386045</v>
      </c>
      <c r="J5" s="2">
        <f t="shared" ref="J5" si="3">J4*24000*4*PI()*0.0000001*10</f>
        <v>6.0318578948924024</v>
      </c>
      <c r="K5" s="2">
        <f t="shared" ref="K5:N5" si="4">K4*24000*4*PI()*0.0000001*10</f>
        <v>3.0159289474462012</v>
      </c>
      <c r="L5" s="2">
        <f t="shared" si="4"/>
        <v>1.5079644737231006</v>
      </c>
      <c r="M5" s="2">
        <f t="shared" si="4"/>
        <v>0</v>
      </c>
      <c r="N5" s="2">
        <f t="shared" si="4"/>
        <v>-1.5079644737231006</v>
      </c>
      <c r="O5" s="2">
        <f t="shared" ref="O5" si="5">O4*24000*4*PI()*0.0000001*10</f>
        <v>-3.0159289474462012</v>
      </c>
      <c r="P5" s="2">
        <f t="shared" ref="P5" si="6">P4*24000*4*PI()*0.0000001*10</f>
        <v>-6.0318578948924024</v>
      </c>
      <c r="Q5" s="2">
        <f t="shared" ref="Q5" si="7">Q4*24000*4*PI()*0.0000001*10</f>
        <v>-9.0477868423386045</v>
      </c>
      <c r="R5" s="2">
        <f t="shared" ref="R5:S5" si="8">R4*24000*4*PI()*0.0000001*10</f>
        <v>-12.063715789784805</v>
      </c>
      <c r="S5" s="2">
        <f t="shared" si="8"/>
        <v>-15.079644737231007</v>
      </c>
      <c r="T5" s="2">
        <f t="shared" ref="T5" si="9">T4*24000*4*PI()*0.0000001*10</f>
        <v>-18.095573684677209</v>
      </c>
      <c r="U5" s="2">
        <f t="shared" ref="U5" si="10">U4*24000*4*PI()*0.0000001*10</f>
        <v>-21.111502632123411</v>
      </c>
      <c r="V5" s="2">
        <f t="shared" ref="V5" si="11">V4*24000*4*PI()*0.0000001*10</f>
        <v>-24.12743157956961</v>
      </c>
      <c r="W5" s="2">
        <f t="shared" ref="W5:X5" si="12">W4*24000*4*PI()*0.0000001*10</f>
        <v>-27.143360527015812</v>
      </c>
      <c r="X5" s="2">
        <f t="shared" si="12"/>
        <v>-30.159289474462014</v>
      </c>
    </row>
    <row r="6" spans="1:24" x14ac:dyDescent="0.3">
      <c r="A6" t="s">
        <v>5</v>
      </c>
      <c r="B6" s="2">
        <v>2.0099999999999998</v>
      </c>
      <c r="C6" s="2">
        <v>1.97</v>
      </c>
      <c r="D6" s="2">
        <v>1.94</v>
      </c>
      <c r="E6" s="2">
        <v>1.92</v>
      </c>
      <c r="F6" s="2">
        <v>1.89</v>
      </c>
      <c r="G6" s="2">
        <v>1.86</v>
      </c>
      <c r="H6" s="2">
        <v>1.83</v>
      </c>
      <c r="I6" s="2">
        <v>1.79</v>
      </c>
      <c r="J6" s="2">
        <v>1.75</v>
      </c>
      <c r="K6" s="2">
        <v>1.72</v>
      </c>
      <c r="L6" s="2">
        <v>1.7</v>
      </c>
      <c r="M6" s="2">
        <v>1.69</v>
      </c>
      <c r="N6" s="2">
        <v>1.7</v>
      </c>
      <c r="O6" s="2">
        <v>1.71</v>
      </c>
      <c r="P6" s="2">
        <v>1.74</v>
      </c>
      <c r="Q6" s="2">
        <v>1.78</v>
      </c>
      <c r="R6" s="2">
        <v>1.81</v>
      </c>
      <c r="S6" s="2">
        <v>1.84</v>
      </c>
      <c r="T6" s="2">
        <v>1.87</v>
      </c>
      <c r="U6" s="2">
        <v>1.89</v>
      </c>
      <c r="V6" s="2">
        <v>1.91</v>
      </c>
      <c r="W6" s="2">
        <v>1.91</v>
      </c>
      <c r="X6" s="2">
        <v>1.92</v>
      </c>
    </row>
    <row r="7" spans="1:24" x14ac:dyDescent="0.3">
      <c r="A7" t="s">
        <v>6</v>
      </c>
      <c r="B7" s="2">
        <f>4/B6*1000</f>
        <v>1990.0497512437814</v>
      </c>
      <c r="C7" s="2">
        <f t="shared" ref="C7:X7" si="13">4/C6*1000</f>
        <v>2030.456852791878</v>
      </c>
      <c r="D7" s="2">
        <f t="shared" si="13"/>
        <v>2061.855670103093</v>
      </c>
      <c r="E7" s="2">
        <f t="shared" si="13"/>
        <v>2083.3333333333335</v>
      </c>
      <c r="F7" s="2">
        <f t="shared" si="13"/>
        <v>2116.4021164021169</v>
      </c>
      <c r="G7" s="2">
        <f t="shared" si="13"/>
        <v>2150.5376344086021</v>
      </c>
      <c r="H7" s="2">
        <f t="shared" si="13"/>
        <v>2185.7923497267757</v>
      </c>
      <c r="I7" s="2">
        <f t="shared" si="13"/>
        <v>2234.63687150838</v>
      </c>
      <c r="J7" s="2">
        <f t="shared" si="13"/>
        <v>2285.7142857142858</v>
      </c>
      <c r="K7" s="2">
        <f t="shared" si="13"/>
        <v>2325.5813953488373</v>
      </c>
      <c r="L7" s="2">
        <f t="shared" si="13"/>
        <v>2352.9411764705883</v>
      </c>
      <c r="M7" s="2">
        <f t="shared" si="13"/>
        <v>2366.8639053254437</v>
      </c>
      <c r="N7" s="2">
        <f t="shared" si="13"/>
        <v>2352.9411764705883</v>
      </c>
      <c r="O7" s="2">
        <f t="shared" si="13"/>
        <v>2339.1812865497077</v>
      </c>
      <c r="P7" s="2">
        <f t="shared" si="13"/>
        <v>2298.8505747126437</v>
      </c>
      <c r="Q7" s="2">
        <f t="shared" si="13"/>
        <v>2247.1910112359551</v>
      </c>
      <c r="R7" s="2">
        <f t="shared" si="13"/>
        <v>2209.9447513812156</v>
      </c>
      <c r="S7" s="2">
        <f t="shared" si="13"/>
        <v>2173.9130434782605</v>
      </c>
      <c r="T7" s="2">
        <f t="shared" si="13"/>
        <v>2139.0374331550797</v>
      </c>
      <c r="U7" s="2">
        <f t="shared" si="13"/>
        <v>2116.4021164021169</v>
      </c>
      <c r="V7" s="2">
        <f t="shared" si="13"/>
        <v>2094.2408376963349</v>
      </c>
      <c r="W7" s="2">
        <f t="shared" si="13"/>
        <v>2094.2408376963349</v>
      </c>
      <c r="X7" s="2">
        <f t="shared" si="13"/>
        <v>2083.3333333333335</v>
      </c>
    </row>
    <row r="10" spans="1:24" x14ac:dyDescent="0.3">
      <c r="A10" s="1" t="s">
        <v>7</v>
      </c>
      <c r="B10" s="1"/>
      <c r="C10" s="1"/>
      <c r="D10" s="1"/>
      <c r="G10">
        <f>24000*4*PI()*0.0000001*10</f>
        <v>0.30159289474462014</v>
      </c>
    </row>
    <row r="11" spans="1:24" x14ac:dyDescent="0.3">
      <c r="A11" t="s">
        <v>3</v>
      </c>
      <c r="B11">
        <v>-100</v>
      </c>
      <c r="C11">
        <v>-90</v>
      </c>
      <c r="D11">
        <v>-80</v>
      </c>
      <c r="E11">
        <v>-70</v>
      </c>
      <c r="F11">
        <v>-60</v>
      </c>
      <c r="G11">
        <v>-50</v>
      </c>
      <c r="H11">
        <v>-40</v>
      </c>
      <c r="I11">
        <v>-30</v>
      </c>
      <c r="J11">
        <v>-20</v>
      </c>
      <c r="K11">
        <v>-10</v>
      </c>
      <c r="L11">
        <v>-5</v>
      </c>
      <c r="M11">
        <v>0</v>
      </c>
      <c r="N11">
        <v>5</v>
      </c>
      <c r="O11">
        <v>10</v>
      </c>
      <c r="P11">
        <v>20</v>
      </c>
      <c r="Q11">
        <v>30</v>
      </c>
      <c r="R11">
        <v>40</v>
      </c>
      <c r="S11">
        <v>50</v>
      </c>
      <c r="T11">
        <v>60</v>
      </c>
      <c r="U11">
        <v>70</v>
      </c>
      <c r="V11">
        <v>80</v>
      </c>
      <c r="W11">
        <v>90</v>
      </c>
      <c r="X11">
        <v>100</v>
      </c>
    </row>
    <row r="12" spans="1:24" x14ac:dyDescent="0.3">
      <c r="A12" t="s">
        <v>4</v>
      </c>
      <c r="B12" s="2">
        <f>B11*24000*4*PI()*0.0000001*10</f>
        <v>-30.159289474462014</v>
      </c>
      <c r="C12" s="2">
        <f t="shared" ref="C12:X12" si="14">C11*24000*4*PI()*0.0000001*10</f>
        <v>-27.143360527015812</v>
      </c>
      <c r="D12" s="2">
        <f t="shared" si="14"/>
        <v>-24.12743157956961</v>
      </c>
      <c r="E12" s="2">
        <f t="shared" si="14"/>
        <v>-21.111502632123411</v>
      </c>
      <c r="F12" s="2">
        <f t="shared" si="14"/>
        <v>-18.095573684677209</v>
      </c>
      <c r="G12" s="2">
        <f t="shared" si="14"/>
        <v>-15.079644737231007</v>
      </c>
      <c r="H12" s="2">
        <f t="shared" si="14"/>
        <v>-12.063715789784805</v>
      </c>
      <c r="I12" s="2">
        <f t="shared" si="14"/>
        <v>-9.0477868423386045</v>
      </c>
      <c r="J12" s="2">
        <f t="shared" si="14"/>
        <v>-6.0318578948924024</v>
      </c>
      <c r="K12" s="2">
        <f t="shared" si="14"/>
        <v>-3.0159289474462012</v>
      </c>
      <c r="L12" s="2">
        <f t="shared" si="14"/>
        <v>-1.5079644737231006</v>
      </c>
      <c r="M12" s="2">
        <f t="shared" si="14"/>
        <v>0</v>
      </c>
      <c r="N12" s="2">
        <f t="shared" si="14"/>
        <v>1.5079644737231006</v>
      </c>
      <c r="O12" s="2">
        <f t="shared" si="14"/>
        <v>3.0159289474462012</v>
      </c>
      <c r="P12" s="2">
        <f t="shared" si="14"/>
        <v>6.0318578948924024</v>
      </c>
      <c r="Q12" s="2">
        <f t="shared" si="14"/>
        <v>9.0477868423386045</v>
      </c>
      <c r="R12" s="2">
        <f t="shared" si="14"/>
        <v>12.063715789784805</v>
      </c>
      <c r="S12" s="2">
        <f t="shared" si="14"/>
        <v>15.079644737231007</v>
      </c>
      <c r="T12" s="2">
        <f t="shared" si="14"/>
        <v>18.095573684677209</v>
      </c>
      <c r="U12" s="2">
        <f t="shared" si="14"/>
        <v>21.111502632123411</v>
      </c>
      <c r="V12" s="2">
        <f t="shared" si="14"/>
        <v>24.12743157956961</v>
      </c>
      <c r="W12" s="2">
        <f t="shared" si="14"/>
        <v>27.143360527015812</v>
      </c>
      <c r="X12" s="2">
        <f t="shared" si="14"/>
        <v>30.159289474462014</v>
      </c>
    </row>
    <row r="13" spans="1:24" x14ac:dyDescent="0.3">
      <c r="A13" t="s">
        <v>5</v>
      </c>
      <c r="B13" s="2">
        <v>1.91</v>
      </c>
      <c r="C13" s="2">
        <v>1.91</v>
      </c>
      <c r="D13" s="2">
        <v>1.9</v>
      </c>
      <c r="E13" s="2">
        <v>1.89</v>
      </c>
      <c r="F13" s="2">
        <v>1.87</v>
      </c>
      <c r="G13" s="2">
        <v>1.84</v>
      </c>
      <c r="H13" s="2">
        <v>1.81</v>
      </c>
      <c r="I13" s="2">
        <v>1.77</v>
      </c>
      <c r="J13" s="2">
        <v>1.74</v>
      </c>
      <c r="K13" s="2">
        <v>1.71</v>
      </c>
      <c r="L13" s="2">
        <v>1.69</v>
      </c>
      <c r="M13" s="2">
        <v>1.68</v>
      </c>
      <c r="N13" s="2">
        <v>1.68</v>
      </c>
      <c r="O13" s="2">
        <v>1.69</v>
      </c>
      <c r="P13" s="2">
        <v>1.73</v>
      </c>
      <c r="Q13" s="2">
        <v>1.76</v>
      </c>
      <c r="R13" s="2">
        <v>1.8</v>
      </c>
      <c r="S13" s="2">
        <v>1.83</v>
      </c>
      <c r="T13" s="2">
        <v>1.86</v>
      </c>
      <c r="U13" s="2">
        <v>1.89</v>
      </c>
      <c r="V13" s="2">
        <v>1.9</v>
      </c>
      <c r="W13" s="2">
        <v>1.91</v>
      </c>
      <c r="X13" s="2">
        <v>1.92</v>
      </c>
    </row>
    <row r="14" spans="1:24" x14ac:dyDescent="0.3">
      <c r="A14" t="s">
        <v>6</v>
      </c>
      <c r="B14" s="2">
        <f>4/B13*1000</f>
        <v>2094.2408376963349</v>
      </c>
      <c r="C14" s="2">
        <f t="shared" ref="C14:X14" si="15">4/C13*1000</f>
        <v>2094.2408376963349</v>
      </c>
      <c r="D14" s="2">
        <f t="shared" si="15"/>
        <v>2105.2631578947367</v>
      </c>
      <c r="E14" s="2">
        <f t="shared" si="15"/>
        <v>2116.4021164021169</v>
      </c>
      <c r="F14" s="2">
        <f t="shared" si="15"/>
        <v>2139.0374331550797</v>
      </c>
      <c r="G14" s="2">
        <f t="shared" si="15"/>
        <v>2173.9130434782605</v>
      </c>
      <c r="H14" s="2">
        <f t="shared" si="15"/>
        <v>2209.9447513812156</v>
      </c>
      <c r="I14" s="2">
        <f t="shared" si="15"/>
        <v>2259.8870056497176</v>
      </c>
      <c r="J14" s="2">
        <f t="shared" si="15"/>
        <v>2298.8505747126437</v>
      </c>
      <c r="K14" s="2">
        <f t="shared" si="15"/>
        <v>2339.1812865497077</v>
      </c>
      <c r="L14" s="2">
        <f t="shared" si="15"/>
        <v>2366.8639053254437</v>
      </c>
      <c r="M14" s="2">
        <f t="shared" si="15"/>
        <v>2380.9523809523807</v>
      </c>
      <c r="N14" s="2">
        <f t="shared" si="15"/>
        <v>2380.9523809523807</v>
      </c>
      <c r="O14" s="2">
        <f t="shared" si="15"/>
        <v>2366.8639053254437</v>
      </c>
      <c r="P14" s="2">
        <f t="shared" si="15"/>
        <v>2312.1387283236995</v>
      </c>
      <c r="Q14" s="2">
        <f t="shared" si="15"/>
        <v>2272.727272727273</v>
      </c>
      <c r="R14" s="2">
        <f t="shared" si="15"/>
        <v>2222.2222222222222</v>
      </c>
      <c r="S14" s="2">
        <f t="shared" si="15"/>
        <v>2185.7923497267757</v>
      </c>
      <c r="T14" s="2">
        <f t="shared" si="15"/>
        <v>2150.5376344086021</v>
      </c>
      <c r="U14" s="2">
        <f t="shared" si="15"/>
        <v>2116.4021164021169</v>
      </c>
      <c r="V14" s="2">
        <f t="shared" si="15"/>
        <v>2105.2631578947367</v>
      </c>
      <c r="W14" s="2">
        <f t="shared" si="15"/>
        <v>2094.2408376963349</v>
      </c>
      <c r="X14" s="2">
        <f t="shared" si="15"/>
        <v>2083.3333333333335</v>
      </c>
    </row>
    <row r="18" spans="1:15" ht="17.5" x14ac:dyDescent="0.3">
      <c r="A18" s="3" t="s">
        <v>8</v>
      </c>
      <c r="B18" s="3"/>
      <c r="C18" s="3"/>
      <c r="D18" s="3"/>
      <c r="E18" s="3"/>
    </row>
    <row r="19" spans="1:15" x14ac:dyDescent="0.3">
      <c r="A19" t="s">
        <v>3</v>
      </c>
      <c r="B19">
        <v>0</v>
      </c>
      <c r="C19">
        <v>5</v>
      </c>
      <c r="D19">
        <v>10</v>
      </c>
      <c r="E19">
        <v>20</v>
      </c>
      <c r="F19">
        <v>30</v>
      </c>
      <c r="G19">
        <v>40</v>
      </c>
      <c r="H19">
        <v>50</v>
      </c>
      <c r="I19">
        <v>60</v>
      </c>
      <c r="J19">
        <v>70</v>
      </c>
      <c r="K19">
        <v>80</v>
      </c>
      <c r="L19">
        <v>90</v>
      </c>
      <c r="M19">
        <v>100</v>
      </c>
    </row>
    <row r="20" spans="1:15" x14ac:dyDescent="0.3">
      <c r="A20" t="s">
        <v>4</v>
      </c>
      <c r="B20" s="2">
        <f>B19*24000*4*PI()*0.0000001*10</f>
        <v>0</v>
      </c>
      <c r="C20" s="2">
        <f t="shared" ref="C20:M20" si="16">C19*24000*4*PI()*0.0000001*10</f>
        <v>1.5079644737231006</v>
      </c>
      <c r="D20" s="2">
        <f t="shared" si="16"/>
        <v>3.0159289474462012</v>
      </c>
      <c r="E20" s="2">
        <f t="shared" si="16"/>
        <v>6.0318578948924024</v>
      </c>
      <c r="F20" s="2">
        <f t="shared" si="16"/>
        <v>9.0477868423386045</v>
      </c>
      <c r="G20" s="2">
        <f t="shared" si="16"/>
        <v>12.063715789784805</v>
      </c>
      <c r="H20" s="2">
        <f t="shared" si="16"/>
        <v>15.079644737231007</v>
      </c>
      <c r="I20" s="2">
        <f t="shared" si="16"/>
        <v>18.095573684677209</v>
      </c>
      <c r="J20" s="2">
        <f t="shared" si="16"/>
        <v>21.111502632123411</v>
      </c>
      <c r="K20" s="2">
        <f t="shared" si="16"/>
        <v>24.12743157956961</v>
      </c>
      <c r="L20" s="2">
        <f t="shared" si="16"/>
        <v>27.143360527015812</v>
      </c>
      <c r="M20" s="2">
        <f t="shared" si="16"/>
        <v>30.159289474462014</v>
      </c>
    </row>
    <row r="21" spans="1:15" x14ac:dyDescent="0.3">
      <c r="A21" t="s">
        <v>9</v>
      </c>
      <c r="B21">
        <v>7.6</v>
      </c>
      <c r="C21">
        <v>20.3</v>
      </c>
      <c r="D21">
        <v>36.1</v>
      </c>
      <c r="E21">
        <v>70.2</v>
      </c>
      <c r="F21">
        <v>106.9</v>
      </c>
      <c r="G21">
        <v>142.5</v>
      </c>
      <c r="H21">
        <v>176.1</v>
      </c>
      <c r="I21">
        <v>206</v>
      </c>
      <c r="J21">
        <v>230</v>
      </c>
      <c r="K21">
        <v>246</v>
      </c>
      <c r="L21">
        <v>254</v>
      </c>
      <c r="M21">
        <v>256</v>
      </c>
    </row>
    <row r="24" spans="1:15" x14ac:dyDescent="0.3">
      <c r="B24" s="1" t="s">
        <v>10</v>
      </c>
      <c r="C24" s="1"/>
      <c r="D24" s="1"/>
      <c r="E24" s="1"/>
    </row>
    <row r="25" spans="1:15" x14ac:dyDescent="0.3">
      <c r="A25" t="s">
        <v>1</v>
      </c>
      <c r="B25" t="s">
        <v>2</v>
      </c>
      <c r="C25" t="s">
        <v>13</v>
      </c>
      <c r="E25" t="s">
        <v>7</v>
      </c>
      <c r="F25" t="s">
        <v>2</v>
      </c>
    </row>
    <row r="26" spans="1:15" x14ac:dyDescent="0.3">
      <c r="A26" t="s">
        <v>11</v>
      </c>
      <c r="B26">
        <v>14.4</v>
      </c>
      <c r="C26" s="2">
        <f>B26*24000*4*PI()*0.0000001*10</f>
        <v>4.3429376843225302</v>
      </c>
      <c r="E26" t="s">
        <v>11</v>
      </c>
      <c r="F26">
        <v>-15.5</v>
      </c>
      <c r="G26" s="2">
        <f>F26*24000*4*PI()*0.0000001*10</f>
        <v>-4.6746898685416118</v>
      </c>
    </row>
    <row r="27" spans="1:15" x14ac:dyDescent="0.3">
      <c r="A27" t="s">
        <v>12</v>
      </c>
      <c r="B27">
        <v>-18.8</v>
      </c>
      <c r="C27" s="2">
        <f>B27*24000*4*PI()*0.0000001*10</f>
        <v>-5.6699464211988584</v>
      </c>
      <c r="E27" t="s">
        <v>12</v>
      </c>
      <c r="F27">
        <v>17.899999999999999</v>
      </c>
      <c r="G27" s="2">
        <f>F27*24000*4*PI()*0.0000001*10</f>
        <v>5.398512815928699</v>
      </c>
    </row>
    <row r="32" spans="1:15" x14ac:dyDescent="0.3">
      <c r="A32" s="2"/>
      <c r="B32">
        <v>-6.71</v>
      </c>
      <c r="C32">
        <v>-6.71</v>
      </c>
      <c r="D32">
        <v>-6.71</v>
      </c>
      <c r="E32">
        <v>-6.71</v>
      </c>
      <c r="F32">
        <v>-6.71</v>
      </c>
      <c r="G32" s="2">
        <v>7.56</v>
      </c>
      <c r="H32" s="2">
        <v>7.56</v>
      </c>
      <c r="I32" s="2">
        <v>7.56</v>
      </c>
      <c r="J32" s="2">
        <v>7.56</v>
      </c>
      <c r="K32" s="2"/>
      <c r="L32" s="2"/>
      <c r="M32" s="2"/>
      <c r="N32" s="2"/>
      <c r="O32" s="2"/>
    </row>
    <row r="33" spans="1:24" x14ac:dyDescent="0.3">
      <c r="F33">
        <v>4.34</v>
      </c>
      <c r="G33">
        <v>4.34</v>
      </c>
    </row>
    <row r="34" spans="1:24" x14ac:dyDescent="0.3">
      <c r="F34">
        <v>-5.67</v>
      </c>
      <c r="G34">
        <v>-5.67</v>
      </c>
    </row>
    <row r="35" spans="1:24" x14ac:dyDescent="0.3">
      <c r="F35">
        <v>-4.67</v>
      </c>
      <c r="G35">
        <v>-4.67</v>
      </c>
    </row>
    <row r="36" spans="1:24" x14ac:dyDescent="0.3">
      <c r="F36" s="2">
        <v>5.4</v>
      </c>
      <c r="G36" s="2">
        <v>5.4</v>
      </c>
    </row>
    <row r="39" spans="1:24" x14ac:dyDescent="0.3">
      <c r="B39" s="1" t="s">
        <v>14</v>
      </c>
      <c r="C39" s="1"/>
      <c r="D39" s="1"/>
    </row>
    <row r="40" spans="1:24" x14ac:dyDescent="0.3">
      <c r="A40" t="s">
        <v>15</v>
      </c>
      <c r="B40">
        <v>18</v>
      </c>
      <c r="C40">
        <v>21</v>
      </c>
      <c r="D40">
        <v>24</v>
      </c>
      <c r="E40">
        <v>27</v>
      </c>
      <c r="F40">
        <v>30</v>
      </c>
      <c r="G40">
        <v>33</v>
      </c>
      <c r="H40">
        <v>36</v>
      </c>
      <c r="I40">
        <v>39</v>
      </c>
      <c r="J40">
        <v>42</v>
      </c>
      <c r="K40">
        <v>45</v>
      </c>
      <c r="L40">
        <v>48</v>
      </c>
      <c r="M40">
        <v>51</v>
      </c>
      <c r="N40">
        <v>54</v>
      </c>
      <c r="O40">
        <v>57</v>
      </c>
      <c r="P40">
        <v>60</v>
      </c>
      <c r="Q40">
        <v>63</v>
      </c>
      <c r="R40">
        <v>66</v>
      </c>
      <c r="S40">
        <v>69</v>
      </c>
      <c r="T40">
        <v>72</v>
      </c>
      <c r="U40">
        <v>75</v>
      </c>
      <c r="V40">
        <v>78</v>
      </c>
      <c r="W40">
        <v>81</v>
      </c>
      <c r="X40">
        <v>84</v>
      </c>
    </row>
    <row r="41" spans="1:24" x14ac:dyDescent="0.3">
      <c r="A41" t="s">
        <v>17</v>
      </c>
      <c r="B41">
        <v>0</v>
      </c>
      <c r="C41">
        <v>3</v>
      </c>
      <c r="D41">
        <v>6</v>
      </c>
      <c r="E41">
        <v>9</v>
      </c>
      <c r="F41">
        <v>12</v>
      </c>
      <c r="G41">
        <v>15</v>
      </c>
      <c r="H41">
        <v>18</v>
      </c>
      <c r="I41">
        <v>21</v>
      </c>
      <c r="J41">
        <v>24</v>
      </c>
      <c r="K41">
        <v>27</v>
      </c>
      <c r="L41">
        <v>30</v>
      </c>
      <c r="M41">
        <v>33</v>
      </c>
      <c r="N41">
        <v>36</v>
      </c>
      <c r="O41">
        <v>39</v>
      </c>
      <c r="P41">
        <v>42</v>
      </c>
      <c r="Q41">
        <v>45</v>
      </c>
      <c r="R41">
        <v>48</v>
      </c>
      <c r="S41">
        <v>51</v>
      </c>
      <c r="T41">
        <v>54</v>
      </c>
      <c r="U41">
        <v>57</v>
      </c>
    </row>
    <row r="42" spans="1:24" x14ac:dyDescent="0.3">
      <c r="A42" t="s">
        <v>16</v>
      </c>
      <c r="B42">
        <v>0</v>
      </c>
      <c r="C42">
        <v>34.700000000000003</v>
      </c>
      <c r="D42">
        <v>68</v>
      </c>
      <c r="E42">
        <v>73.400000000000006</v>
      </c>
      <c r="F42">
        <v>21.6</v>
      </c>
      <c r="G42">
        <v>-52.7</v>
      </c>
      <c r="H42">
        <v>-68.599999999999994</v>
      </c>
      <c r="I42">
        <v>-43.4</v>
      </c>
      <c r="J42">
        <v>-3.3</v>
      </c>
      <c r="K42">
        <v>32.5</v>
      </c>
      <c r="L42">
        <v>65.900000000000006</v>
      </c>
      <c r="M42">
        <v>72.400000000000006</v>
      </c>
      <c r="N42">
        <v>17.100000000000001</v>
      </c>
      <c r="O42">
        <v>-52.1</v>
      </c>
      <c r="P42">
        <v>-66.400000000000006</v>
      </c>
      <c r="Q42">
        <v>-36.9</v>
      </c>
      <c r="R42">
        <v>-4.0999999999999996</v>
      </c>
      <c r="S42">
        <v>27.9</v>
      </c>
      <c r="T42">
        <v>66.400000000000006</v>
      </c>
      <c r="U42">
        <v>70.3</v>
      </c>
    </row>
  </sheetData>
  <mergeCells count="6">
    <mergeCell ref="A1:E1"/>
    <mergeCell ref="A3:D3"/>
    <mergeCell ref="A10:D10"/>
    <mergeCell ref="A18:E18"/>
    <mergeCell ref="B24:E24"/>
    <mergeCell ref="B39:D3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承沄 阮</dc:creator>
  <cp:lastModifiedBy>承沄 阮</cp:lastModifiedBy>
  <dcterms:created xsi:type="dcterms:W3CDTF">2025-05-14T12:36:52Z</dcterms:created>
  <dcterms:modified xsi:type="dcterms:W3CDTF">2025-05-14T14:13:52Z</dcterms:modified>
</cp:coreProperties>
</file>