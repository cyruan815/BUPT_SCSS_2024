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anchengyun\Desktop\"/>
    </mc:Choice>
  </mc:AlternateContent>
  <xr:revisionPtr revIDLastSave="0" documentId="8_{5EE86456-81E3-468F-BEE7-AFD7A84B39FA}" xr6:coauthVersionLast="47" xr6:coauthVersionMax="47" xr10:uidLastSave="{00000000-0000-0000-0000-000000000000}"/>
  <bookViews>
    <workbookView xWindow="-110" yWindow="-110" windowWidth="25820" windowHeight="15500" xr2:uid="{3EF4FCC3-F144-43C2-9FEB-F5051E3D0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B25" i="1"/>
  <c r="C19" i="1"/>
  <c r="D19" i="1"/>
  <c r="E19" i="1"/>
  <c r="F19" i="1"/>
  <c r="G19" i="1"/>
  <c r="H19" i="1"/>
  <c r="I19" i="1"/>
  <c r="B19" i="1"/>
  <c r="C18" i="1"/>
  <c r="D18" i="1"/>
  <c r="E18" i="1"/>
  <c r="F18" i="1"/>
  <c r="G18" i="1"/>
  <c r="H18" i="1"/>
  <c r="I18" i="1"/>
  <c r="B18" i="1"/>
  <c r="C9" i="1"/>
  <c r="D9" i="1"/>
  <c r="E9" i="1"/>
  <c r="F9" i="1"/>
  <c r="G9" i="1"/>
  <c r="H9" i="1"/>
  <c r="I9" i="1"/>
  <c r="B9" i="1"/>
</calcChain>
</file>

<file path=xl/sharedStrings.xml><?xml version="1.0" encoding="utf-8"?>
<sst xmlns="http://schemas.openxmlformats.org/spreadsheetml/2006/main" count="21" uniqueCount="15">
  <si>
    <t>Is</t>
    <phoneticPr fontId="1" type="noConversion"/>
  </si>
  <si>
    <t>U1</t>
    <phoneticPr fontId="1" type="noConversion"/>
  </si>
  <si>
    <t>U2</t>
    <phoneticPr fontId="1" type="noConversion"/>
  </si>
  <si>
    <t>U3</t>
    <phoneticPr fontId="1" type="noConversion"/>
  </si>
  <si>
    <t>U4</t>
    <phoneticPr fontId="1" type="noConversion"/>
  </si>
  <si>
    <t>UH</t>
    <phoneticPr fontId="1" type="noConversion"/>
  </si>
  <si>
    <t>UH-IS曲线</t>
    <phoneticPr fontId="1" type="noConversion"/>
  </si>
  <si>
    <t>IM</t>
    <phoneticPr fontId="1" type="noConversion"/>
  </si>
  <si>
    <t>UU2</t>
    <phoneticPr fontId="1" type="noConversion"/>
  </si>
  <si>
    <t>UH-IM</t>
    <phoneticPr fontId="1" type="noConversion"/>
  </si>
  <si>
    <t>x</t>
    <phoneticPr fontId="1" type="noConversion"/>
  </si>
  <si>
    <t>B-x</t>
    <phoneticPr fontId="1" type="noConversion"/>
  </si>
  <si>
    <t>IS</t>
    <phoneticPr fontId="1" type="noConversion"/>
  </si>
  <si>
    <t>U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</si>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</sst>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</a:t>
            </a:r>
            <a:r>
              <a:rPr lang="en-US" altLang="zh-CN"/>
              <a:t>1</a:t>
            </a:r>
            <a:r>
              <a:rPr lang="zh-CN" altLang="en-US"/>
              <a:t>：霍尔元件</a:t>
            </a:r>
            <a:r>
              <a:rPr lang="en-US" altLang="zh-CN"/>
              <a:t>U</a:t>
            </a:r>
            <a:r>
              <a:rPr lang="en-US" altLang="zh-CN" baseline="-25000"/>
              <a:t>H</a:t>
            </a:r>
            <a:r>
              <a:rPr lang="en-US" altLang="zh-CN"/>
              <a:t>-I</a:t>
            </a:r>
            <a:r>
              <a:rPr lang="en-US" altLang="zh-CN" baseline="-25000"/>
              <a:t>s</a:t>
            </a:r>
            <a:r>
              <a:rPr lang="zh-CN" altLang="en-US"/>
              <a:t>曲线</a:t>
            </a:r>
          </a:p>
        </c:rich>
      </c:tx>
      <c:layout>
        <c:manualLayout>
          <c:xMode val="edge"/>
          <c:yMode val="edge"/>
          <c:x val="0.24534711286089239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158092738407699"/>
          <c:y val="9.7060367454068236E-2"/>
          <c:w val="0.79815529308836397"/>
          <c:h val="0.6633643190434529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4.3160192297429865E-2"/>
                  <c:y val="-5.9107679136447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4C-4955-8FCC-CAFB7F6FA6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3139520609209779E-2"/>
                  <c:y val="0.215215211858865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Sheet1!$B$4:$I$4</c:f>
              <c:numCache>
                <c:formatCode>General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</c:numCache>
            </c:numRef>
          </c:xVal>
          <c:yVal>
            <c:numRef>
              <c:f>Sheet1!$B$9:$I$9</c:f>
              <c:numCache>
                <c:formatCode>General</c:formatCode>
                <c:ptCount val="8"/>
                <c:pt idx="0">
                  <c:v>6.835</c:v>
                </c:pt>
                <c:pt idx="1">
                  <c:v>13.635</c:v>
                </c:pt>
                <c:pt idx="2">
                  <c:v>19.947499999999998</c:v>
                </c:pt>
                <c:pt idx="3">
                  <c:v>27.675000000000001</c:v>
                </c:pt>
                <c:pt idx="4">
                  <c:v>34.5</c:v>
                </c:pt>
                <c:pt idx="5">
                  <c:v>41.375</c:v>
                </c:pt>
                <c:pt idx="6">
                  <c:v>48.3</c:v>
                </c:pt>
                <c:pt idx="7">
                  <c:v>55.4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C-4955-8FCC-CAFB7F6FA6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84729776"/>
        <c:axId val="1984730256"/>
      </c:scatterChart>
      <c:valAx>
        <c:axId val="19847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</a:t>
                </a:r>
                <a:r>
                  <a:rPr lang="en-US" altLang="zh-CN" baseline="-25000"/>
                  <a:t>S</a:t>
                </a:r>
                <a:r>
                  <a:rPr lang="zh-CN" altLang="en-US"/>
                  <a:t>（</a:t>
                </a:r>
                <a:r>
                  <a:rPr lang="en-US" altLang="zh-CN"/>
                  <a:t>mA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86176268591426075"/>
              <c:y val="0.830787037037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730256"/>
        <c:crosses val="autoZero"/>
        <c:crossBetween val="midCat"/>
      </c:valAx>
      <c:valAx>
        <c:axId val="19847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r>
                  <a:rPr lang="en-US" altLang="zh-CN" baseline="-25000"/>
                  <a:t>H</a:t>
                </a:r>
                <a:r>
                  <a:rPr lang="en-US" altLang="zh-CN"/>
                  <a:t>(mV)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0833333333333332"/>
              <c:y val="2.596456692913386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72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</a:t>
            </a:r>
            <a:r>
              <a:rPr lang="en-US" altLang="zh-CN"/>
              <a:t>2</a:t>
            </a:r>
            <a:r>
              <a:rPr lang="zh-CN" altLang="en-US"/>
              <a:t>：电磁铁的励磁特性</a:t>
            </a:r>
            <a:r>
              <a:rPr lang="en-US" altLang="zh-CN"/>
              <a:t>B-I</a:t>
            </a:r>
            <a:r>
              <a:rPr lang="en-US" altLang="zh-CN" baseline="-25000"/>
              <a:t>M</a:t>
            </a:r>
            <a:r>
              <a:rPr lang="zh-CN" altLang="en-US"/>
              <a:t>曲线</a:t>
            </a:r>
          </a:p>
        </c:rich>
      </c:tx>
      <c:layout>
        <c:manualLayout>
          <c:xMode val="edge"/>
          <c:yMode val="edge"/>
          <c:x val="0.1701487803560203"/>
          <c:y val="0.8418734146432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2809198385376"/>
          <c:y val="0.12542071696396723"/>
          <c:w val="0.84867532373971133"/>
          <c:h val="0.6338859634537502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799711216138512"/>
                  <c:y val="5.7445673949205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Sheet1!$B$13:$I$13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xVal>
          <c:yVal>
            <c:numRef>
              <c:f>Sheet1!$B$19:$I$19</c:f>
              <c:numCache>
                <c:formatCode>0.000</c:formatCode>
                <c:ptCount val="8"/>
                <c:pt idx="0">
                  <c:v>2.6544784580498866E-2</c:v>
                </c:pt>
                <c:pt idx="1">
                  <c:v>5.2458900226757366E-2</c:v>
                </c:pt>
                <c:pt idx="2">
                  <c:v>7.8939909297052149E-2</c:v>
                </c:pt>
                <c:pt idx="3">
                  <c:v>0.10501700680272108</c:v>
                </c:pt>
                <c:pt idx="4">
                  <c:v>0.13109410430839002</c:v>
                </c:pt>
                <c:pt idx="5">
                  <c:v>0.15688775510204081</c:v>
                </c:pt>
                <c:pt idx="6">
                  <c:v>0.18232709750566894</c:v>
                </c:pt>
                <c:pt idx="7">
                  <c:v>0.2078373015873016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3-458B-9E0E-3E8CD20FAF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56311344"/>
        <c:axId val="1656298864"/>
      </c:scatterChart>
      <c:valAx>
        <c:axId val="16563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IM</a:t>
                </a:r>
                <a:r>
                  <a:rPr lang="zh-CN" altLang="en-US"/>
                  <a:t>（</a:t>
                </a:r>
                <a:r>
                  <a:rPr lang="en-US" altLang="zh-CN"/>
                  <a:t>A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83429916760489942"/>
              <c:y val="0.8160436820489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6298864"/>
        <c:crosses val="autoZero"/>
        <c:crossBetween val="midCat"/>
      </c:valAx>
      <c:valAx>
        <c:axId val="16562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B(T)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7.810430570851104E-2"/>
              <c:y val="4.1078456434781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63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</a:t>
            </a:r>
            <a:r>
              <a:rPr lang="en-US" altLang="zh-CN"/>
              <a:t>3</a:t>
            </a:r>
            <a:r>
              <a:rPr lang="zh-CN" altLang="en-US"/>
              <a:t>：磁场分布</a:t>
            </a:r>
            <a:r>
              <a:rPr lang="en-US" altLang="zh-CN"/>
              <a:t>B-x</a:t>
            </a:r>
            <a:r>
              <a:rPr lang="zh-CN" altLang="en-US"/>
              <a:t>曲线</a:t>
            </a:r>
          </a:p>
        </c:rich>
      </c:tx>
      <c:layout>
        <c:manualLayout>
          <c:xMode val="edge"/>
          <c:yMode val="edge"/>
          <c:x val="0.28611111111111109"/>
          <c:y val="0.865740740740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69203849518809"/>
          <c:y val="0.14335666375036454"/>
          <c:w val="0.81959973753280835"/>
          <c:h val="0.640216170895304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Sheet1!$B$23:$T$23</c:f>
              <c:numCache>
                <c:formatCode>0.0</c:formatCode>
                <c:ptCount val="19"/>
                <c:pt idx="0">
                  <c:v>50</c:v>
                </c:pt>
                <c:pt idx="1">
                  <c:v>48</c:v>
                </c:pt>
                <c:pt idx="2">
                  <c:v>46</c:v>
                </c:pt>
                <c:pt idx="3">
                  <c:v>44</c:v>
                </c:pt>
                <c:pt idx="4">
                  <c:v>42</c:v>
                </c:pt>
                <c:pt idx="5">
                  <c:v>40</c:v>
                </c:pt>
                <c:pt idx="6">
                  <c:v>35</c:v>
                </c:pt>
                <c:pt idx="7">
                  <c:v>30</c:v>
                </c:pt>
                <c:pt idx="8">
                  <c:v>25</c:v>
                </c:pt>
                <c:pt idx="9">
                  <c:v>20</c:v>
                </c:pt>
                <c:pt idx="10">
                  <c:v>15</c:v>
                </c:pt>
                <c:pt idx="11">
                  <c:v>13</c:v>
                </c:pt>
                <c:pt idx="12">
                  <c:v>11</c:v>
                </c:pt>
                <c:pt idx="13">
                  <c:v>9</c:v>
                </c:pt>
                <c:pt idx="14">
                  <c:v>8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</c:numCache>
            </c:numRef>
          </c:xVal>
          <c:yVal>
            <c:numRef>
              <c:f>Sheet1!$B$25:$T$25</c:f>
              <c:numCache>
                <c:formatCode>0.000</c:formatCode>
                <c:ptCount val="19"/>
                <c:pt idx="0">
                  <c:v>4.829931972789115E-2</c:v>
                </c:pt>
                <c:pt idx="1">
                  <c:v>5.7823129251700675E-2</c:v>
                </c:pt>
                <c:pt idx="2">
                  <c:v>7.7947845804988661E-2</c:v>
                </c:pt>
                <c:pt idx="3">
                  <c:v>0.10487528344671201</c:v>
                </c:pt>
                <c:pt idx="4">
                  <c:v>0.12329931972789115</c:v>
                </c:pt>
                <c:pt idx="5">
                  <c:v>0.12896825396825395</c:v>
                </c:pt>
                <c:pt idx="6">
                  <c:v>0.1306689342403628</c:v>
                </c:pt>
                <c:pt idx="7">
                  <c:v>0.1306689342403628</c:v>
                </c:pt>
                <c:pt idx="8">
                  <c:v>0.1306689342403628</c:v>
                </c:pt>
                <c:pt idx="9">
                  <c:v>0.1306689342403628</c:v>
                </c:pt>
                <c:pt idx="10">
                  <c:v>0.13095238095238096</c:v>
                </c:pt>
                <c:pt idx="11">
                  <c:v>0.13095238095238096</c:v>
                </c:pt>
                <c:pt idx="12">
                  <c:v>0.13123582766439909</c:v>
                </c:pt>
                <c:pt idx="13">
                  <c:v>0.13095238095238096</c:v>
                </c:pt>
                <c:pt idx="14">
                  <c:v>0.13038548752834467</c:v>
                </c:pt>
                <c:pt idx="15">
                  <c:v>0.12670068027210885</c:v>
                </c:pt>
                <c:pt idx="16">
                  <c:v>0.11196145124716553</c:v>
                </c:pt>
                <c:pt idx="17">
                  <c:v>8.1065759637188206E-2</c:v>
                </c:pt>
                <c:pt idx="18">
                  <c:v>5.9240362811791375E-2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D9-4970-ADA6-BDE63C15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837616"/>
        <c:axId val="810843856"/>
      </c:scatterChart>
      <c:valAx>
        <c:axId val="81083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r>
                  <a:rPr lang="zh-CN" altLang="en-US"/>
                  <a:t>（</a:t>
                </a:r>
                <a:r>
                  <a:rPr lang="en-US" altLang="zh-CN"/>
                  <a:t>mm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83749190726159217"/>
              <c:y val="0.849305555555555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843856"/>
        <c:crosses val="autoZero"/>
        <c:crossBetween val="midCat"/>
      </c:valAx>
      <c:valAx>
        <c:axId val="8108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r>
                  <a:rPr lang="en-US" altLang="zh-CN" baseline="-25000"/>
                  <a:t>H</a:t>
                </a:r>
                <a:r>
                  <a:rPr lang="zh-CN" altLang="en-US"/>
                  <a:t>（</a:t>
                </a:r>
                <a:r>
                  <a:rPr lang="en-US" altLang="zh-CN"/>
                  <a:t>mV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10833333333333332"/>
              <c:y val="4.3210119568387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83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</a:t>
            </a:r>
            <a:r>
              <a:rPr lang="en-US" altLang="zh-CN"/>
              <a:t>4</a:t>
            </a:r>
            <a:r>
              <a:rPr lang="zh-CN" altLang="en-US"/>
              <a:t>：霍尔元件</a:t>
            </a:r>
            <a:r>
              <a:rPr lang="en-US" altLang="zh-CN"/>
              <a:t>U-I</a:t>
            </a:r>
            <a:r>
              <a:rPr lang="en-US" altLang="zh-CN" baseline="-25000"/>
              <a:t>S</a:t>
            </a:r>
            <a:r>
              <a:rPr lang="zh-CN" altLang="en-US"/>
              <a:t>曲线</a:t>
            </a:r>
          </a:p>
        </c:rich>
      </c:tx>
      <c:layout>
        <c:manualLayout>
          <c:xMode val="edge"/>
          <c:yMode val="edge"/>
          <c:x val="0.30555555555555558"/>
          <c:y val="0.87962962962962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77537182852142"/>
          <c:y val="0.11094925634295713"/>
          <c:w val="0.83551640419947504"/>
          <c:h val="0.686512467191600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010323709536309"/>
                  <c:y val="0.17145815106445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Sheet1!$B$28:$I$28</c:f>
              <c:numCache>
                <c:formatCode>0.00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</c:numCache>
            </c:numRef>
          </c:xVal>
          <c:yVal>
            <c:numRef>
              <c:f>Sheet1!$B$29:$I$29</c:f>
              <c:numCache>
                <c:formatCode>General</c:formatCode>
                <c:ptCount val="8"/>
                <c:pt idx="0">
                  <c:v>0.185</c:v>
                </c:pt>
                <c:pt idx="1">
                  <c:v>0.374</c:v>
                </c:pt>
                <c:pt idx="2">
                  <c:v>0.54600000000000004</c:v>
                </c:pt>
                <c:pt idx="3">
                  <c:v>0.73299999999999998</c:v>
                </c:pt>
                <c:pt idx="4">
                  <c:v>0.91300000000000003</c:v>
                </c:pt>
                <c:pt idx="5">
                  <c:v>1.1020000000000001</c:v>
                </c:pt>
                <c:pt idx="6">
                  <c:v>1.29</c:v>
                </c:pt>
                <c:pt idx="7">
                  <c:v>1.4690000000000001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40-42F5-AD39-7AFD3080F0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10826096"/>
        <c:axId val="810816976"/>
      </c:scatterChart>
      <c:valAx>
        <c:axId val="81082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</a:t>
                </a:r>
                <a:r>
                  <a:rPr lang="en-US" altLang="zh-CN" baseline="-25000"/>
                  <a:t>S</a:t>
                </a:r>
                <a:r>
                  <a:rPr lang="zh-CN" altLang="en-US"/>
                  <a:t>（</a:t>
                </a:r>
                <a:r>
                  <a:rPr lang="en-US" altLang="zh-CN"/>
                  <a:t>mV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82953346456692911"/>
              <c:y val="0.86782407407407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816976"/>
        <c:crosses val="autoZero"/>
        <c:crossBetween val="midCat"/>
      </c:valAx>
      <c:valAx>
        <c:axId val="8108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r>
                  <a:rPr lang="zh-CN" altLang="en-US"/>
                  <a:t>（</a:t>
                </a:r>
                <a:r>
                  <a:rPr lang="en-US" altLang="zh-CN"/>
                  <a:t>V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9.166666666666666E-2"/>
              <c:y val="4.3210119568387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82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213428</xdr:colOff>
      <xdr:row>35</xdr:row>
      <xdr:rowOff>132822</xdr:rowOff>
    </xdr:from>
    <xdr:to>
      <xdr:col>7</xdr:col>
      <xdr:colOff>126614</xdr:colOff>
      <xdr:row>51</xdr:row>
      <xdr:rowOff>3452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318E439-D3EA-C3E7-F15B-D0679D2E6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564703</xdr:colOff>
      <xdr:row>35</xdr:row>
      <xdr:rowOff>100580</xdr:rowOff>
    </xdr:from>
    <xdr:to>
      <xdr:col>14</xdr:col>
      <xdr:colOff>501628</xdr:colOff>
      <xdr:row>51</xdr:row>
      <xdr:rowOff>17499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4A2E629-1734-C687-7737-2A9030223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365053</xdr:colOff>
      <xdr:row>53</xdr:row>
      <xdr:rowOff>102260</xdr:rowOff>
    </xdr:from>
    <xdr:to>
      <xdr:col>7</xdr:col>
      <xdr:colOff>291209</xdr:colOff>
      <xdr:row>69</xdr:row>
      <xdr:rowOff>28474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05C645A-4FAC-03A4-2CA0-CD124739F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611582</xdr:colOff>
      <xdr:row>53</xdr:row>
      <xdr:rowOff>72379</xdr:rowOff>
    </xdr:from>
    <xdr:to>
      <xdr:col>14</xdr:col>
      <xdr:colOff>567621</xdr:colOff>
      <xdr:row>68</xdr:row>
      <xdr:rowOff>177887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2B35ED7-0629-C59C-5DE6-3A819A8B3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8CA2-3680-4615-A886-C14E479E7AF9}">
  <dimension ref="A2:T29"/>
  <sheetViews>
    <sheetView tabSelected="1" topLeftCell="A31" zoomScale="85" zoomScaleNormal="85" workbookViewId="0">
      <selection activeCell="G33" sqref="G33"/>
    </sheetView>
  </sheetViews>
  <sheetFormatPr defaultRowHeight="14" x14ac:dyDescent="0.3"/>
  <cols>
    <col min="1" max="1" width="9" customWidth="1"/>
  </cols>
  <sheetData>
    <row r="2" spans="1:9" x14ac:dyDescent="0.3">
      <c r="C2" s="1" t="s">
        <v>6</v>
      </c>
      <c r="D2" s="1"/>
      <c r="E2" s="1"/>
      <c r="F2" s="1"/>
    </row>
    <row r="4" spans="1:9" x14ac:dyDescent="0.3">
      <c r="A4" t="s">
        <v>0</v>
      </c>
      <c r="B4">
        <v>0.25</v>
      </c>
      <c r="C4">
        <v>0.5</v>
      </c>
      <c r="D4">
        <v>0.75</v>
      </c>
      <c r="E4">
        <v>1</v>
      </c>
      <c r="F4">
        <v>1.25</v>
      </c>
      <c r="G4">
        <v>1.5</v>
      </c>
      <c r="H4">
        <v>1.75</v>
      </c>
      <c r="I4">
        <v>2</v>
      </c>
    </row>
    <row r="5" spans="1:9" x14ac:dyDescent="0.3">
      <c r="A5" t="s">
        <v>1</v>
      </c>
      <c r="B5">
        <v>6.25</v>
      </c>
      <c r="C5">
        <v>12.51</v>
      </c>
      <c r="D5">
        <v>18.86</v>
      </c>
      <c r="E5">
        <v>25.3</v>
      </c>
      <c r="F5">
        <v>31.6</v>
      </c>
      <c r="G5">
        <v>37.9</v>
      </c>
      <c r="H5">
        <v>44.3</v>
      </c>
      <c r="I5">
        <v>50.8</v>
      </c>
    </row>
    <row r="6" spans="1:9" x14ac:dyDescent="0.3">
      <c r="A6" t="s">
        <v>2</v>
      </c>
      <c r="B6">
        <v>-6.26</v>
      </c>
      <c r="C6">
        <v>-12.49</v>
      </c>
      <c r="D6">
        <v>-18.829999999999998</v>
      </c>
      <c r="E6">
        <v>-25.4</v>
      </c>
      <c r="F6">
        <v>-31.6</v>
      </c>
      <c r="G6">
        <v>-37.9</v>
      </c>
      <c r="H6">
        <v>-44.2</v>
      </c>
      <c r="I6">
        <v>-50.7</v>
      </c>
    </row>
    <row r="7" spans="1:9" x14ac:dyDescent="0.3">
      <c r="A7" t="s">
        <v>3</v>
      </c>
      <c r="B7">
        <v>7.42</v>
      </c>
      <c r="C7">
        <v>14.78</v>
      </c>
      <c r="D7">
        <v>19.600000000000001</v>
      </c>
      <c r="E7">
        <v>30</v>
      </c>
      <c r="F7">
        <v>37.4</v>
      </c>
      <c r="G7">
        <v>44.9</v>
      </c>
      <c r="H7">
        <v>52.4</v>
      </c>
      <c r="I7">
        <v>60.1</v>
      </c>
    </row>
    <row r="8" spans="1:9" x14ac:dyDescent="0.3">
      <c r="A8" t="s">
        <v>4</v>
      </c>
      <c r="B8">
        <v>-7.41</v>
      </c>
      <c r="C8">
        <v>-14.76</v>
      </c>
      <c r="D8">
        <v>-22.5</v>
      </c>
      <c r="E8">
        <v>-30</v>
      </c>
      <c r="F8">
        <v>-37.4</v>
      </c>
      <c r="G8">
        <v>-44.8</v>
      </c>
      <c r="H8">
        <v>-52.3</v>
      </c>
      <c r="I8">
        <v>-60</v>
      </c>
    </row>
    <row r="9" spans="1:9" x14ac:dyDescent="0.3">
      <c r="A9" t="s">
        <v>5</v>
      </c>
      <c r="B9">
        <f>(B5-B6+B7-B8)/4</f>
        <v>6.835</v>
      </c>
      <c r="C9">
        <f t="shared" ref="C9:I9" si="0">(C5-C6+C7-C8)/4</f>
        <v>13.635</v>
      </c>
      <c r="D9">
        <f t="shared" si="0"/>
        <v>19.947499999999998</v>
      </c>
      <c r="E9">
        <f t="shared" si="0"/>
        <v>27.675000000000001</v>
      </c>
      <c r="F9">
        <f t="shared" si="0"/>
        <v>34.5</v>
      </c>
      <c r="G9">
        <f t="shared" si="0"/>
        <v>41.375</v>
      </c>
      <c r="H9">
        <f t="shared" si="0"/>
        <v>48.3</v>
      </c>
      <c r="I9">
        <f t="shared" si="0"/>
        <v>55.4</v>
      </c>
    </row>
    <row r="12" spans="1:9" x14ac:dyDescent="0.3">
      <c r="C12" s="1" t="s">
        <v>9</v>
      </c>
      <c r="D12" s="1"/>
      <c r="E12" s="1"/>
      <c r="F12" s="1"/>
    </row>
    <row r="13" spans="1:9" x14ac:dyDescent="0.3">
      <c r="A13" t="s">
        <v>7</v>
      </c>
      <c r="B13">
        <v>0.1</v>
      </c>
      <c r="C13">
        <v>0.2</v>
      </c>
      <c r="D13">
        <v>0.3</v>
      </c>
      <c r="E13">
        <v>0.4</v>
      </c>
      <c r="F13">
        <v>0.5</v>
      </c>
      <c r="G13">
        <v>0.6</v>
      </c>
      <c r="H13">
        <v>0.7</v>
      </c>
      <c r="I13">
        <v>0.8</v>
      </c>
    </row>
    <row r="14" spans="1:9" x14ac:dyDescent="0.3">
      <c r="A14" t="s">
        <v>1</v>
      </c>
      <c r="B14">
        <v>4.8099999999999996</v>
      </c>
      <c r="C14">
        <v>13.82</v>
      </c>
      <c r="D14">
        <v>23.2</v>
      </c>
      <c r="E14">
        <v>32.4</v>
      </c>
      <c r="F14">
        <v>41.6</v>
      </c>
      <c r="G14">
        <v>50.7</v>
      </c>
      <c r="H14">
        <v>59.7</v>
      </c>
      <c r="I14">
        <v>68.7</v>
      </c>
    </row>
    <row r="15" spans="1:9" x14ac:dyDescent="0.3">
      <c r="A15" t="s">
        <v>8</v>
      </c>
      <c r="B15">
        <v>-4.71</v>
      </c>
      <c r="C15">
        <v>-13.71</v>
      </c>
      <c r="D15">
        <v>-23.1</v>
      </c>
      <c r="E15">
        <v>-32.299999999999997</v>
      </c>
      <c r="F15">
        <v>-41.5</v>
      </c>
      <c r="G15">
        <v>-50.6</v>
      </c>
      <c r="H15">
        <v>-59.6</v>
      </c>
      <c r="I15">
        <v>-68.599999999999994</v>
      </c>
    </row>
    <row r="16" spans="1:9" x14ac:dyDescent="0.3">
      <c r="A16" t="s">
        <v>3</v>
      </c>
      <c r="B16">
        <v>14.04</v>
      </c>
      <c r="C16">
        <v>23.3</v>
      </c>
      <c r="D16">
        <v>32.6</v>
      </c>
      <c r="E16">
        <v>41.8</v>
      </c>
      <c r="F16">
        <v>51</v>
      </c>
      <c r="G16">
        <v>60.1</v>
      </c>
      <c r="H16">
        <v>69.099999999999994</v>
      </c>
      <c r="I16">
        <v>78.099999999999994</v>
      </c>
    </row>
    <row r="17" spans="1:20" x14ac:dyDescent="0.3">
      <c r="A17" t="s">
        <v>4</v>
      </c>
      <c r="B17">
        <v>-13.9</v>
      </c>
      <c r="C17">
        <v>-23.2</v>
      </c>
      <c r="D17">
        <v>-32.5</v>
      </c>
      <c r="E17">
        <v>-41.7</v>
      </c>
      <c r="F17">
        <v>-50.9</v>
      </c>
      <c r="G17">
        <v>-60</v>
      </c>
      <c r="H17">
        <v>-68.900000000000006</v>
      </c>
      <c r="I17">
        <v>-77.900000000000006</v>
      </c>
    </row>
    <row r="18" spans="1:20" x14ac:dyDescent="0.3">
      <c r="A18" t="s">
        <v>5</v>
      </c>
      <c r="B18">
        <f>(B14-B15+B16-B17)/4</f>
        <v>9.3650000000000002</v>
      </c>
      <c r="C18">
        <f t="shared" ref="C18:I18" si="1">(C14-C15+C16-C17)/4</f>
        <v>18.5075</v>
      </c>
      <c r="D18">
        <f t="shared" si="1"/>
        <v>27.85</v>
      </c>
      <c r="E18">
        <f t="shared" si="1"/>
        <v>37.049999999999997</v>
      </c>
      <c r="F18">
        <f t="shared" si="1"/>
        <v>46.25</v>
      </c>
      <c r="G18">
        <f t="shared" si="1"/>
        <v>55.35</v>
      </c>
      <c r="H18">
        <f t="shared" si="1"/>
        <v>64.325000000000003</v>
      </c>
      <c r="I18">
        <f t="shared" si="1"/>
        <v>73.325000000000003</v>
      </c>
    </row>
    <row r="19" spans="1:20" x14ac:dyDescent="0.3">
      <c r="A19" t="s">
        <v>14</v>
      </c>
      <c r="B19" s="4">
        <f>B18/(176.4*2)</f>
        <v>2.6544784580498866E-2</v>
      </c>
      <c r="C19" s="4">
        <f t="shared" ref="C19:I19" si="2">C18/(176.4*2)</f>
        <v>5.2458900226757366E-2</v>
      </c>
      <c r="D19" s="4">
        <f t="shared" si="2"/>
        <v>7.8939909297052149E-2</v>
      </c>
      <c r="E19" s="4">
        <f t="shared" si="2"/>
        <v>0.10501700680272108</v>
      </c>
      <c r="F19" s="4">
        <f t="shared" si="2"/>
        <v>0.13109410430839002</v>
      </c>
      <c r="G19" s="4">
        <f t="shared" si="2"/>
        <v>0.15688775510204081</v>
      </c>
      <c r="H19" s="4">
        <f t="shared" si="2"/>
        <v>0.18232709750566894</v>
      </c>
      <c r="I19" s="4">
        <f t="shared" si="2"/>
        <v>0.2078373015873016</v>
      </c>
    </row>
    <row r="21" spans="1:20" x14ac:dyDescent="0.3">
      <c r="D21" s="1" t="s">
        <v>11</v>
      </c>
      <c r="E21" s="1"/>
      <c r="F21" s="1"/>
      <c r="G21" s="1"/>
    </row>
    <row r="23" spans="1:20" x14ac:dyDescent="0.3">
      <c r="A23" t="s">
        <v>10</v>
      </c>
      <c r="B23" s="2">
        <v>50</v>
      </c>
      <c r="C23" s="2">
        <v>48</v>
      </c>
      <c r="D23" s="2">
        <v>46</v>
      </c>
      <c r="E23" s="2">
        <v>44</v>
      </c>
      <c r="F23" s="2">
        <v>42</v>
      </c>
      <c r="G23" s="2">
        <v>40</v>
      </c>
      <c r="H23" s="2">
        <v>35</v>
      </c>
      <c r="I23" s="2">
        <v>30</v>
      </c>
      <c r="J23" s="2">
        <v>25</v>
      </c>
      <c r="K23" s="2">
        <v>20</v>
      </c>
      <c r="L23" s="2">
        <v>15</v>
      </c>
      <c r="M23" s="2">
        <v>13</v>
      </c>
      <c r="N23" s="2">
        <v>11</v>
      </c>
      <c r="O23" s="2">
        <v>9</v>
      </c>
      <c r="P23" s="2">
        <v>8</v>
      </c>
      <c r="Q23" s="2">
        <v>6</v>
      </c>
      <c r="R23" s="2">
        <v>4</v>
      </c>
      <c r="S23" s="2">
        <v>2</v>
      </c>
      <c r="T23" s="2">
        <v>0</v>
      </c>
    </row>
    <row r="24" spans="1:20" x14ac:dyDescent="0.3">
      <c r="A24" t="s">
        <v>5</v>
      </c>
      <c r="B24">
        <v>17.04</v>
      </c>
      <c r="C24">
        <v>20.399999999999999</v>
      </c>
      <c r="D24">
        <v>27.5</v>
      </c>
      <c r="E24">
        <v>37</v>
      </c>
      <c r="F24">
        <v>43.5</v>
      </c>
      <c r="G24">
        <v>45.5</v>
      </c>
      <c r="H24">
        <v>46.1</v>
      </c>
      <c r="I24">
        <v>46.1</v>
      </c>
      <c r="J24">
        <v>46.1</v>
      </c>
      <c r="K24">
        <v>46.1</v>
      </c>
      <c r="L24">
        <v>46.2</v>
      </c>
      <c r="M24">
        <v>46.2</v>
      </c>
      <c r="N24">
        <v>46.3</v>
      </c>
      <c r="O24">
        <v>46.2</v>
      </c>
      <c r="P24">
        <v>46</v>
      </c>
      <c r="Q24">
        <v>44.7</v>
      </c>
      <c r="R24">
        <v>39.5</v>
      </c>
      <c r="S24">
        <v>28.6</v>
      </c>
      <c r="T24">
        <v>20.9</v>
      </c>
    </row>
    <row r="25" spans="1:20" x14ac:dyDescent="0.3">
      <c r="A25" t="s">
        <v>14</v>
      </c>
      <c r="B25" s="4">
        <f>B24/(176.4*2)</f>
        <v>4.829931972789115E-2</v>
      </c>
      <c r="C25" s="4">
        <f t="shared" ref="C25:T25" si="3">C24/(176.4*2)</f>
        <v>5.7823129251700675E-2</v>
      </c>
      <c r="D25" s="4">
        <f t="shared" si="3"/>
        <v>7.7947845804988661E-2</v>
      </c>
      <c r="E25" s="4">
        <f t="shared" si="3"/>
        <v>0.10487528344671201</v>
      </c>
      <c r="F25" s="4">
        <f t="shared" si="3"/>
        <v>0.12329931972789115</v>
      </c>
      <c r="G25" s="4">
        <f t="shared" si="3"/>
        <v>0.12896825396825395</v>
      </c>
      <c r="H25" s="4">
        <f t="shared" si="3"/>
        <v>0.1306689342403628</v>
      </c>
      <c r="I25" s="4">
        <f t="shared" si="3"/>
        <v>0.1306689342403628</v>
      </c>
      <c r="J25" s="4">
        <f t="shared" si="3"/>
        <v>0.1306689342403628</v>
      </c>
      <c r="K25" s="4">
        <f t="shared" si="3"/>
        <v>0.1306689342403628</v>
      </c>
      <c r="L25" s="4">
        <f t="shared" si="3"/>
        <v>0.13095238095238096</v>
      </c>
      <c r="M25" s="4">
        <f t="shared" si="3"/>
        <v>0.13095238095238096</v>
      </c>
      <c r="N25" s="4">
        <f t="shared" si="3"/>
        <v>0.13123582766439909</v>
      </c>
      <c r="O25" s="4">
        <f t="shared" si="3"/>
        <v>0.13095238095238096</v>
      </c>
      <c r="P25" s="4">
        <f t="shared" si="3"/>
        <v>0.13038548752834467</v>
      </c>
      <c r="Q25" s="4">
        <f t="shared" si="3"/>
        <v>0.12670068027210885</v>
      </c>
      <c r="R25" s="4">
        <f t="shared" si="3"/>
        <v>0.11196145124716553</v>
      </c>
      <c r="S25" s="4">
        <f t="shared" si="3"/>
        <v>8.1065759637188206E-2</v>
      </c>
      <c r="T25" s="4">
        <f t="shared" si="3"/>
        <v>5.9240362811791375E-2</v>
      </c>
    </row>
    <row r="28" spans="1:20" x14ac:dyDescent="0.3">
      <c r="A28" t="s">
        <v>12</v>
      </c>
      <c r="B28" s="3">
        <v>0.25</v>
      </c>
      <c r="C28" s="3">
        <v>0.5</v>
      </c>
      <c r="D28" s="3">
        <v>0.75</v>
      </c>
      <c r="E28" s="3">
        <v>1</v>
      </c>
      <c r="F28" s="3">
        <v>1.25</v>
      </c>
      <c r="G28" s="3">
        <v>1.5</v>
      </c>
      <c r="H28" s="3">
        <v>1.75</v>
      </c>
      <c r="I28" s="3">
        <v>2</v>
      </c>
      <c r="J28" s="3"/>
      <c r="K28" s="3"/>
      <c r="L28" s="3"/>
      <c r="M28" s="3"/>
    </row>
    <row r="29" spans="1:20" x14ac:dyDescent="0.3">
      <c r="A29" t="s">
        <v>13</v>
      </c>
      <c r="B29">
        <v>0.185</v>
      </c>
      <c r="C29">
        <v>0.374</v>
      </c>
      <c r="D29">
        <v>0.54600000000000004</v>
      </c>
      <c r="E29">
        <v>0.73299999999999998</v>
      </c>
      <c r="F29">
        <v>0.91300000000000003</v>
      </c>
      <c r="G29">
        <v>1.1020000000000001</v>
      </c>
      <c r="H29">
        <v>1.29</v>
      </c>
      <c r="I29">
        <v>1.4690000000000001</v>
      </c>
    </row>
  </sheetData>
  <mergeCells count="3">
    <mergeCell ref="C2:F2"/>
    <mergeCell ref="C12:F12"/>
    <mergeCell ref="D21:G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承沄 阮</dc:creator>
  <cp:lastModifiedBy>承沄 阮</cp:lastModifiedBy>
  <dcterms:created xsi:type="dcterms:W3CDTF">2025-04-16T14:31:48Z</dcterms:created>
  <dcterms:modified xsi:type="dcterms:W3CDTF">2025-04-16T16:07:44Z</dcterms:modified>
</cp:coreProperties>
</file>