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chengyun\Desktop\"/>
    </mc:Choice>
  </mc:AlternateContent>
  <xr:revisionPtr revIDLastSave="0" documentId="13_ncr:1_{4ED1045E-DE20-4978-96DD-E7CCBEC347DF}" xr6:coauthVersionLast="47" xr6:coauthVersionMax="47" xr10:uidLastSave="{00000000-0000-0000-0000-000000000000}"/>
  <bookViews>
    <workbookView xWindow="-110" yWindow="-110" windowWidth="25820" windowHeight="15500" xr2:uid="{3C2A78EE-3C8C-4B64-B8EC-1F39952E7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0" i="1" l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C80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C74" i="1"/>
  <c r="D44" i="1"/>
  <c r="E44" i="1"/>
  <c r="F44" i="1"/>
  <c r="G44" i="1"/>
  <c r="H44" i="1"/>
  <c r="I44" i="1"/>
  <c r="J44" i="1"/>
  <c r="C44" i="1"/>
</calcChain>
</file>

<file path=xl/sharedStrings.xml><?xml version="1.0" encoding="utf-8"?>
<sst xmlns="http://schemas.openxmlformats.org/spreadsheetml/2006/main" count="22" uniqueCount="14">
  <si>
    <t>电压</t>
    <phoneticPr fontId="1" type="noConversion"/>
  </si>
  <si>
    <t>电流</t>
    <phoneticPr fontId="1" type="noConversion"/>
  </si>
  <si>
    <t>表1：单晶硅太阳能电池的暗伏安特性曲线</t>
    <phoneticPr fontId="1" type="noConversion"/>
  </si>
  <si>
    <t>表二：硅太阳能电池开路电压与短路电流随光强的变化关系</t>
    <phoneticPr fontId="1" type="noConversion"/>
  </si>
  <si>
    <t>开路电压 Voc</t>
    <phoneticPr fontId="1" type="noConversion"/>
  </si>
  <si>
    <t>短路电流 I sc</t>
    <phoneticPr fontId="1" type="noConversion"/>
  </si>
  <si>
    <t>光强 I in</t>
    <phoneticPr fontId="1" type="noConversion"/>
  </si>
  <si>
    <t>ln（Iin）</t>
    <phoneticPr fontId="1" type="noConversion"/>
  </si>
  <si>
    <t>单晶硅</t>
    <phoneticPr fontId="1" type="noConversion"/>
  </si>
  <si>
    <t>非晶硅</t>
    <phoneticPr fontId="1" type="noConversion"/>
  </si>
  <si>
    <t>负载电阻R</t>
    <phoneticPr fontId="1" type="noConversion"/>
  </si>
  <si>
    <t>输出电流I</t>
    <phoneticPr fontId="1" type="noConversion"/>
  </si>
  <si>
    <t>I2R</t>
    <phoneticPr fontId="1" type="noConversion"/>
  </si>
  <si>
    <t>i2R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</si>
</sst>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200"/>
              <a:t>表</a:t>
            </a:r>
            <a:r>
              <a:rPr lang="en-US" sz="1200"/>
              <a:t>1</a:t>
            </a:r>
            <a:r>
              <a:rPr lang="zh-CN" sz="1200"/>
              <a:t>：太阳能电池的暗伏安特性曲线</a:t>
            </a:r>
          </a:p>
        </c:rich>
      </c:tx>
      <c:layout>
        <c:manualLayout>
          <c:xMode val="edge"/>
          <c:yMode val="edge"/>
          <c:x val="0.1954999223774076"/>
          <c:y val="0.88473443141019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519873874746414E-2"/>
          <c:y val="5.4747403746833706E-2"/>
          <c:w val="0.75238213671979093"/>
          <c:h val="0.77650114079414134"/>
        </c:manualLayout>
      </c:layout>
      <c:scatterChart>
        <c:scatterStyle val="lineMarker"/>
        <c:varyColors val="0"/>
        <c:ser>
          <c:idx val="0"/>
          <c:order val="0"/>
          <c:tx>
            <c:v>单晶硅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Sheet1!$A$4:$A$22</c:f>
              <c:numCache>
                <c:formatCode>0.00_ </c:formatCode>
                <c:ptCount val="19"/>
                <c:pt idx="0">
                  <c:v>-2</c:v>
                </c:pt>
                <c:pt idx="1">
                  <c:v>-4</c:v>
                </c:pt>
                <c:pt idx="2">
                  <c:v>-6</c:v>
                </c:pt>
                <c:pt idx="3">
                  <c:v>-8</c:v>
                </c:pt>
                <c:pt idx="4">
                  <c:v>0</c:v>
                </c:pt>
                <c:pt idx="5">
                  <c:v>1.53</c:v>
                </c:pt>
                <c:pt idx="6">
                  <c:v>1.73</c:v>
                </c:pt>
                <c:pt idx="7">
                  <c:v>2.16</c:v>
                </c:pt>
                <c:pt idx="8">
                  <c:v>2.34</c:v>
                </c:pt>
                <c:pt idx="9">
                  <c:v>2.46</c:v>
                </c:pt>
                <c:pt idx="10">
                  <c:v>2.67</c:v>
                </c:pt>
                <c:pt idx="11">
                  <c:v>2.79</c:v>
                </c:pt>
                <c:pt idx="12">
                  <c:v>2.87</c:v>
                </c:pt>
                <c:pt idx="13">
                  <c:v>2.92</c:v>
                </c:pt>
                <c:pt idx="14">
                  <c:v>2.97</c:v>
                </c:pt>
                <c:pt idx="15">
                  <c:v>3</c:v>
                </c:pt>
                <c:pt idx="16">
                  <c:v>3.03</c:v>
                </c:pt>
                <c:pt idx="17">
                  <c:v>3.06</c:v>
                </c:pt>
                <c:pt idx="18">
                  <c:v>3.08</c:v>
                </c:pt>
              </c:numCache>
            </c:numRef>
          </c:xVal>
          <c:yVal>
            <c:numRef>
              <c:f>Sheet1!$B$4:$B$22</c:f>
              <c:numCache>
                <c:formatCode>General</c:formatCode>
                <c:ptCount val="19"/>
                <c:pt idx="0">
                  <c:v>-0.03</c:v>
                </c:pt>
                <c:pt idx="1">
                  <c:v>-5.8000000000000003E-2</c:v>
                </c:pt>
                <c:pt idx="2">
                  <c:v>-8.6999999999999994E-2</c:v>
                </c:pt>
                <c:pt idx="3">
                  <c:v>-0.12</c:v>
                </c:pt>
                <c:pt idx="4" formatCode="0.0_);[Red]\(0.0\)">
                  <c:v>0</c:v>
                </c:pt>
                <c:pt idx="5" formatCode="0.0_);[Red]\(0.0\)">
                  <c:v>0.5</c:v>
                </c:pt>
                <c:pt idx="6" formatCode="0.0_);[Red]\(0.0\)">
                  <c:v>1</c:v>
                </c:pt>
                <c:pt idx="7" formatCode="0.0_);[Red]\(0.0\)">
                  <c:v>4</c:v>
                </c:pt>
                <c:pt idx="8" formatCode="0.0_);[Red]\(0.0\)">
                  <c:v>7</c:v>
                </c:pt>
                <c:pt idx="9" formatCode="0.0_);[Red]\(0.0\)">
                  <c:v>10</c:v>
                </c:pt>
                <c:pt idx="10" formatCode="0.0_);[Red]\(0.0\)">
                  <c:v>20</c:v>
                </c:pt>
                <c:pt idx="11" formatCode="0.0_);[Red]\(0.0\)">
                  <c:v>30</c:v>
                </c:pt>
                <c:pt idx="12" formatCode="0.0_);[Red]\(0.0\)">
                  <c:v>40</c:v>
                </c:pt>
                <c:pt idx="13" formatCode="0.0_);[Red]\(0.0\)">
                  <c:v>50</c:v>
                </c:pt>
                <c:pt idx="14" formatCode="0.0_);[Red]\(0.0\)">
                  <c:v>60</c:v>
                </c:pt>
                <c:pt idx="15" formatCode="0.0_);[Red]\(0.0\)">
                  <c:v>70</c:v>
                </c:pt>
                <c:pt idx="16" formatCode="0.0_);[Red]\(0.0\)">
                  <c:v>80</c:v>
                </c:pt>
                <c:pt idx="17" formatCode="0.0_);[Red]\(0.0\)">
                  <c:v>90</c:v>
                </c:pt>
                <c:pt idx="18" formatCode="0.0_);[Red]\(0.0\)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31-4AAF-8F7F-BD47DA1D52B7}"/>
            </c:ext>
          </c:extLst>
        </c:ser>
        <c:ser>
          <c:idx val="1"/>
          <c:order val="1"/>
          <c:tx>
            <c:v>非晶硅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Sheet1!$D$4:$D$20</c:f>
              <c:numCache>
                <c:formatCode>0.00_ </c:formatCode>
                <c:ptCount val="17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2.66</c:v>
                </c:pt>
                <c:pt idx="6">
                  <c:v>2.86</c:v>
                </c:pt>
                <c:pt idx="7">
                  <c:v>3.19</c:v>
                </c:pt>
                <c:pt idx="8">
                  <c:v>3.32</c:v>
                </c:pt>
                <c:pt idx="9">
                  <c:v>3.41</c:v>
                </c:pt>
                <c:pt idx="10">
                  <c:v>3.62</c:v>
                </c:pt>
                <c:pt idx="11">
                  <c:v>3.76</c:v>
                </c:pt>
                <c:pt idx="12">
                  <c:v>3.87</c:v>
                </c:pt>
                <c:pt idx="13">
                  <c:v>3.97</c:v>
                </c:pt>
                <c:pt idx="14">
                  <c:v>4.0599999999999996</c:v>
                </c:pt>
                <c:pt idx="15">
                  <c:v>4.1500000000000004</c:v>
                </c:pt>
                <c:pt idx="16">
                  <c:v>4.22</c:v>
                </c:pt>
              </c:numCache>
            </c:numRef>
          </c:xVal>
          <c:yVal>
            <c:numRef>
              <c:f>Sheet1!$E$4:$E$20</c:f>
              <c:numCache>
                <c:formatCode>0.000_ </c:formatCode>
                <c:ptCount val="17"/>
                <c:pt idx="0">
                  <c:v>-1.5920000000000001</c:v>
                </c:pt>
                <c:pt idx="1">
                  <c:v>-0.995</c:v>
                </c:pt>
                <c:pt idx="2">
                  <c:v>-0.54200000000000004</c:v>
                </c:pt>
                <c:pt idx="3">
                  <c:v>-0.20899999999999999</c:v>
                </c:pt>
                <c:pt idx="4" formatCode="0.00_ ">
                  <c:v>0</c:v>
                </c:pt>
                <c:pt idx="5" formatCode="0.00_ ">
                  <c:v>0.5</c:v>
                </c:pt>
                <c:pt idx="6" formatCode="0.00_ ">
                  <c:v>1</c:v>
                </c:pt>
                <c:pt idx="7" formatCode="0.00_ ">
                  <c:v>4</c:v>
                </c:pt>
                <c:pt idx="8" formatCode="0.00_ ">
                  <c:v>7</c:v>
                </c:pt>
                <c:pt idx="9" formatCode="0.00_ ">
                  <c:v>10</c:v>
                </c:pt>
                <c:pt idx="10" formatCode="0.00_ ">
                  <c:v>20</c:v>
                </c:pt>
                <c:pt idx="11" formatCode="0.00_ ">
                  <c:v>30</c:v>
                </c:pt>
                <c:pt idx="12" formatCode="0.00_ ">
                  <c:v>40</c:v>
                </c:pt>
                <c:pt idx="13" formatCode="0.00_ ">
                  <c:v>50</c:v>
                </c:pt>
                <c:pt idx="14" formatCode="0.00_ ">
                  <c:v>60</c:v>
                </c:pt>
                <c:pt idx="15" formatCode="0.00_ ">
                  <c:v>70</c:v>
                </c:pt>
                <c:pt idx="16" formatCode="0.00_ 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31-4AAF-8F7F-BD47DA1D5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779616"/>
        <c:axId val="635780576"/>
      </c:scatterChart>
      <c:valAx>
        <c:axId val="635779616"/>
        <c:scaling>
          <c:orientation val="minMax"/>
          <c:min val="-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电压</a:t>
                </a:r>
                <a:r>
                  <a:rPr lang="en-US"/>
                  <a:t>V</a:t>
                </a:r>
                <a:r>
                  <a:rPr lang="zh-CN"/>
                  <a:t>（</a:t>
                </a:r>
                <a:r>
                  <a:rPr lang="en-US"/>
                  <a:t>V</a:t>
                </a:r>
                <a:r>
                  <a:rPr lang="zh-CN"/>
                  <a:t>）</a:t>
                </a:r>
              </a:p>
            </c:rich>
          </c:tx>
          <c:layout>
            <c:manualLayout>
              <c:xMode val="edge"/>
              <c:yMode val="edge"/>
              <c:x val="0.73417281320018513"/>
              <c:y val="0.82397374959104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780576"/>
        <c:crosses val="autoZero"/>
        <c:crossBetween val="midCat"/>
      </c:valAx>
      <c:valAx>
        <c:axId val="635780576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电流</a:t>
                </a:r>
                <a:r>
                  <a:rPr lang="en-US"/>
                  <a:t>I(mA)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38309389902366919"/>
              <c:y val="4.84837510054275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77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4984297118951"/>
          <c:y val="0.59413337505053931"/>
          <c:w val="0.14897090920615114"/>
          <c:h val="0.15464020180562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r>
              <a:rPr lang="zh-CN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表</a:t>
            </a:r>
            <a:r>
              <a:rPr lang="en-US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2</a:t>
            </a:r>
            <a:r>
              <a:rPr lang="zh-CN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：</a:t>
            </a:r>
            <a:r>
              <a:rPr lang="zh-CN" altLang="en-US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太阳能电池</a:t>
            </a:r>
            <a:r>
              <a:rPr lang="en-US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</a:t>
            </a:r>
            <a:r>
              <a:rPr lang="en-US" sz="7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oc</a:t>
            </a:r>
            <a:r>
              <a:rPr lang="en-US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—ln</a:t>
            </a:r>
            <a:r>
              <a:rPr lang="zh-CN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（</a:t>
            </a:r>
            <a:r>
              <a:rPr lang="en-US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</a:t>
            </a:r>
            <a:r>
              <a:rPr lang="en-US" sz="8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in</a:t>
            </a:r>
            <a:r>
              <a:rPr lang="zh-CN" sz="1200" b="1" cap="none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）图</a:t>
            </a:r>
          </a:p>
        </c:rich>
      </c:tx>
      <c:layout>
        <c:manualLayout>
          <c:xMode val="edge"/>
          <c:yMode val="edge"/>
          <c:x val="0.19718729746394492"/>
          <c:y val="0.86553615227926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844203849518809"/>
          <c:y val="0.14006962671332751"/>
          <c:w val="0.83466907261592316"/>
          <c:h val="0.63560950714494024"/>
        </c:manualLayout>
      </c:layout>
      <c:scatterChart>
        <c:scatterStyle val="lineMarker"/>
        <c:varyColors val="0"/>
        <c:ser>
          <c:idx val="0"/>
          <c:order val="0"/>
          <c:tx>
            <c:v>单晶硅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Sheet1!$C$44:$J$44</c:f>
              <c:numCache>
                <c:formatCode>General</c:formatCode>
                <c:ptCount val="8"/>
                <c:pt idx="0">
                  <c:v>6.7381524945959574</c:v>
                </c:pt>
                <c:pt idx="1">
                  <c:v>6.1441856341256456</c:v>
                </c:pt>
                <c:pt idx="2">
                  <c:v>5.6801726090170677</c:v>
                </c:pt>
                <c:pt idx="3">
                  <c:v>5.3132059790417872</c:v>
                </c:pt>
                <c:pt idx="4">
                  <c:v>5.0238805208462765</c:v>
                </c:pt>
                <c:pt idx="5">
                  <c:v>4.7874917427820458</c:v>
                </c:pt>
                <c:pt idx="6">
                  <c:v>4.5849674786705723</c:v>
                </c:pt>
                <c:pt idx="7">
                  <c:v>4.3820266346738812</c:v>
                </c:pt>
              </c:numCache>
            </c:numRef>
          </c:xVal>
          <c:yVal>
            <c:numRef>
              <c:f>Sheet1!$C$45:$J$45</c:f>
              <c:numCache>
                <c:formatCode>General</c:formatCode>
                <c:ptCount val="8"/>
                <c:pt idx="0">
                  <c:v>3.01</c:v>
                </c:pt>
                <c:pt idx="1">
                  <c:v>2.87</c:v>
                </c:pt>
                <c:pt idx="2">
                  <c:v>2.76</c:v>
                </c:pt>
                <c:pt idx="3">
                  <c:v>2.66</c:v>
                </c:pt>
                <c:pt idx="4">
                  <c:v>2.57</c:v>
                </c:pt>
                <c:pt idx="5">
                  <c:v>2.5</c:v>
                </c:pt>
                <c:pt idx="6">
                  <c:v>2.4300000000000002</c:v>
                </c:pt>
                <c:pt idx="7">
                  <c:v>2.37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F-405D-B07F-C3E693C6D7B8}"/>
            </c:ext>
          </c:extLst>
        </c:ser>
        <c:ser>
          <c:idx val="1"/>
          <c:order val="1"/>
          <c:tx>
            <c:v>非晶硅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Sheet1!$C$44:$J$44</c:f>
              <c:numCache>
                <c:formatCode>General</c:formatCode>
                <c:ptCount val="8"/>
                <c:pt idx="0">
                  <c:v>6.7381524945959574</c:v>
                </c:pt>
                <c:pt idx="1">
                  <c:v>6.1441856341256456</c:v>
                </c:pt>
                <c:pt idx="2">
                  <c:v>5.6801726090170677</c:v>
                </c:pt>
                <c:pt idx="3">
                  <c:v>5.3132059790417872</c:v>
                </c:pt>
                <c:pt idx="4">
                  <c:v>5.0238805208462765</c:v>
                </c:pt>
                <c:pt idx="5">
                  <c:v>4.7874917427820458</c:v>
                </c:pt>
                <c:pt idx="6">
                  <c:v>4.5849674786705723</c:v>
                </c:pt>
                <c:pt idx="7">
                  <c:v>4.3820266346738812</c:v>
                </c:pt>
              </c:numCache>
            </c:numRef>
          </c:xVal>
          <c:yVal>
            <c:numRef>
              <c:f>Sheet1!$C$48:$J$48</c:f>
              <c:numCache>
                <c:formatCode>General</c:formatCode>
                <c:ptCount val="8"/>
                <c:pt idx="0">
                  <c:v>3.12</c:v>
                </c:pt>
                <c:pt idx="1">
                  <c:v>3.02</c:v>
                </c:pt>
                <c:pt idx="2">
                  <c:v>2.94</c:v>
                </c:pt>
                <c:pt idx="3">
                  <c:v>2.88</c:v>
                </c:pt>
                <c:pt idx="4">
                  <c:v>2.83</c:v>
                </c:pt>
                <c:pt idx="5">
                  <c:v>2.78</c:v>
                </c:pt>
                <c:pt idx="6">
                  <c:v>2.75</c:v>
                </c:pt>
                <c:pt idx="7">
                  <c:v>2.71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BF-405D-B07F-C3E693C6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731167"/>
        <c:axId val="596734047"/>
      </c:scatterChart>
      <c:valAx>
        <c:axId val="5967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cap="none" baseline="0"/>
                  <a:t>ln</a:t>
                </a:r>
                <a:r>
                  <a:rPr lang="zh-CN" cap="none" baseline="0"/>
                  <a:t>（</a:t>
                </a:r>
                <a:r>
                  <a:rPr lang="en-US" cap="none" baseline="0"/>
                  <a:t>Iin</a:t>
                </a:r>
                <a:r>
                  <a:rPr lang="zh-CN" cap="none" baseline="0"/>
                  <a:t>）</a:t>
                </a:r>
              </a:p>
            </c:rich>
          </c:tx>
          <c:layout>
            <c:manualLayout>
              <c:xMode val="edge"/>
              <c:yMode val="edge"/>
              <c:x val="0.86490266841644792"/>
              <c:y val="0.848842592592592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34047"/>
        <c:crosses val="autoZero"/>
        <c:crossBetween val="midCat"/>
      </c:valAx>
      <c:valAx>
        <c:axId val="5967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Voc </a:t>
                </a:r>
                <a:r>
                  <a:rPr lang="zh-CN"/>
                  <a:t>（</a:t>
                </a:r>
                <a:r>
                  <a:rPr lang="en-US"/>
                  <a:t>V</a:t>
                </a:r>
                <a:r>
                  <a:rPr lang="zh-CN"/>
                  <a:t>）</a:t>
                </a:r>
              </a:p>
            </c:rich>
          </c:tx>
          <c:layout>
            <c:manualLayout>
              <c:xMode val="edge"/>
              <c:yMode val="edge"/>
              <c:x val="0.1"/>
              <c:y val="6.7712160979877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31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none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cap="none" baseline="0"/>
              <a:t>表</a:t>
            </a:r>
            <a:r>
              <a:rPr lang="en-US" cap="none" baseline="0"/>
              <a:t>3</a:t>
            </a:r>
            <a:r>
              <a:rPr lang="zh-CN" cap="none" baseline="0"/>
              <a:t>：太阳能电池</a:t>
            </a:r>
            <a:r>
              <a:rPr lang="en-US" cap="none" baseline="0"/>
              <a:t>I</a:t>
            </a:r>
            <a:r>
              <a:rPr lang="en-US" cap="none" baseline="-25000"/>
              <a:t>sc</a:t>
            </a:r>
            <a:r>
              <a:rPr lang="en-US" cap="none" baseline="0"/>
              <a:t>—I</a:t>
            </a:r>
            <a:r>
              <a:rPr lang="en-US" cap="none" baseline="-25000"/>
              <a:t>in</a:t>
            </a:r>
            <a:r>
              <a:rPr lang="zh-CN" cap="none" baseline="0"/>
              <a:t>图</a:t>
            </a:r>
          </a:p>
        </c:rich>
      </c:tx>
      <c:layout>
        <c:manualLayout>
          <c:xMode val="edge"/>
          <c:yMode val="edge"/>
          <c:x val="0.26488858375575508"/>
          <c:y val="0.88837095775586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none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848779235933958"/>
          <c:y val="9.2948174143925338E-2"/>
          <c:w val="0.73303663279250186"/>
          <c:h val="0.68787319319426576"/>
        </c:manualLayout>
      </c:layout>
      <c:scatterChart>
        <c:scatterStyle val="lineMarker"/>
        <c:varyColors val="0"/>
        <c:ser>
          <c:idx val="0"/>
          <c:order val="0"/>
          <c:tx>
            <c:v>单晶硅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Sheet1!$C$43:$J$43</c:f>
              <c:numCache>
                <c:formatCode>General</c:formatCode>
                <c:ptCount val="8"/>
                <c:pt idx="0">
                  <c:v>844</c:v>
                </c:pt>
                <c:pt idx="1">
                  <c:v>466</c:v>
                </c:pt>
                <c:pt idx="2">
                  <c:v>293</c:v>
                </c:pt>
                <c:pt idx="3">
                  <c:v>203</c:v>
                </c:pt>
                <c:pt idx="4">
                  <c:v>152</c:v>
                </c:pt>
                <c:pt idx="5">
                  <c:v>120</c:v>
                </c:pt>
                <c:pt idx="6">
                  <c:v>98</c:v>
                </c:pt>
                <c:pt idx="7">
                  <c:v>80</c:v>
                </c:pt>
              </c:numCache>
            </c:numRef>
          </c:xVal>
          <c:yVal>
            <c:numRef>
              <c:f>Sheet1!$C$46:$J$46</c:f>
              <c:numCache>
                <c:formatCode>General</c:formatCode>
                <c:ptCount val="8"/>
                <c:pt idx="0">
                  <c:v>104.9</c:v>
                </c:pt>
                <c:pt idx="1">
                  <c:v>59.5</c:v>
                </c:pt>
                <c:pt idx="2">
                  <c:v>37.200000000000003</c:v>
                </c:pt>
                <c:pt idx="3">
                  <c:v>25.7</c:v>
                </c:pt>
                <c:pt idx="4">
                  <c:v>19</c:v>
                </c:pt>
                <c:pt idx="5">
                  <c:v>15</c:v>
                </c:pt>
                <c:pt idx="6">
                  <c:v>12.1</c:v>
                </c:pt>
                <c:pt idx="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B-4F5D-8DD9-FFD118883847}"/>
            </c:ext>
          </c:extLst>
        </c:ser>
        <c:ser>
          <c:idx val="1"/>
          <c:order val="1"/>
          <c:tx>
            <c:v>非晶硅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Sheet1!$C$43:$J$43</c:f>
              <c:numCache>
                <c:formatCode>General</c:formatCode>
                <c:ptCount val="8"/>
                <c:pt idx="0">
                  <c:v>844</c:v>
                </c:pt>
                <c:pt idx="1">
                  <c:v>466</c:v>
                </c:pt>
                <c:pt idx="2">
                  <c:v>293</c:v>
                </c:pt>
                <c:pt idx="3">
                  <c:v>203</c:v>
                </c:pt>
                <c:pt idx="4">
                  <c:v>152</c:v>
                </c:pt>
                <c:pt idx="5">
                  <c:v>120</c:v>
                </c:pt>
                <c:pt idx="6">
                  <c:v>98</c:v>
                </c:pt>
                <c:pt idx="7">
                  <c:v>80</c:v>
                </c:pt>
              </c:numCache>
            </c:numRef>
          </c:xVal>
          <c:yVal>
            <c:numRef>
              <c:f>Sheet1!$C$49:$J$49</c:f>
              <c:numCache>
                <c:formatCode>General</c:formatCode>
                <c:ptCount val="8"/>
                <c:pt idx="0">
                  <c:v>11.4</c:v>
                </c:pt>
                <c:pt idx="1">
                  <c:v>6.4</c:v>
                </c:pt>
                <c:pt idx="2">
                  <c:v>4.0999999999999996</c:v>
                </c:pt>
                <c:pt idx="3">
                  <c:v>2.9</c:v>
                </c:pt>
                <c:pt idx="4">
                  <c:v>2.2000000000000002</c:v>
                </c:pt>
                <c:pt idx="5">
                  <c:v>1.7</c:v>
                </c:pt>
                <c:pt idx="6">
                  <c:v>1.4</c:v>
                </c:pt>
                <c:pt idx="7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2B-4F5D-8DD9-FFD118883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691807"/>
        <c:axId val="596686527"/>
      </c:scatterChart>
      <c:valAx>
        <c:axId val="59669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cap="none" baseline="0"/>
                  <a:t>Iin</a:t>
                </a:r>
                <a:r>
                  <a:rPr lang="zh-CN" cap="none" baseline="0"/>
                  <a:t>（</a:t>
                </a:r>
                <a:r>
                  <a:rPr lang="en-US" cap="none" baseline="0"/>
                  <a:t>W/m2</a:t>
                </a:r>
                <a:r>
                  <a:rPr lang="zh-CN" cap="none" baseline="0"/>
                  <a:t>）</a:t>
                </a:r>
              </a:p>
            </c:rich>
          </c:tx>
          <c:layout>
            <c:manualLayout>
              <c:xMode val="edge"/>
              <c:yMode val="edge"/>
              <c:x val="0.8671445460986219"/>
              <c:y val="0.85263891865504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686527"/>
        <c:crosses val="autoZero"/>
        <c:crossBetween val="midCat"/>
      </c:valAx>
      <c:valAx>
        <c:axId val="5966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0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</a:t>
                </a:r>
                <a:r>
                  <a:rPr lang="en-US" altLang="zh-CN" sz="1100" b="0" i="0" u="none" strike="noStrike" kern="1200" cap="none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sc </a:t>
                </a:r>
                <a:r>
                  <a:rPr lang="zh-CN" altLang="en-US" sz="1100" b="0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（</a:t>
                </a:r>
                <a:r>
                  <a:rPr lang="en-US" altLang="zh-CN" sz="1100" b="0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</a:t>
                </a:r>
                <a:r>
                  <a:rPr lang="zh-CN" altLang="en-US" sz="1100" b="0" i="0" u="none" strike="noStrike" kern="1200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  <a:endParaRPr lang="zh-CN" sz="1100" baseline="0"/>
              </a:p>
            </c:rich>
          </c:tx>
          <c:layout>
            <c:manualLayout>
              <c:xMode val="edge"/>
              <c:yMode val="edge"/>
              <c:x val="0.16435513694799114"/>
              <c:y val="2.12876393056150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69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9307813284844"/>
          <c:y val="0.53052519407534404"/>
          <c:w val="0.17523498812602814"/>
          <c:h val="0.18039150156574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单晶硅电池输出特性</a:t>
            </a:r>
          </a:p>
        </c:rich>
      </c:tx>
      <c:layout>
        <c:manualLayout>
          <c:xMode val="edge"/>
          <c:yMode val="edge"/>
          <c:x val="0.2986255063211119"/>
          <c:y val="0.86592675258527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57477867315113"/>
          <c:y val="0.10979507157780025"/>
          <c:w val="0.85017857295634491"/>
          <c:h val="0.67785560894307284"/>
        </c:manualLayout>
      </c:layout>
      <c:scatterChart>
        <c:scatterStyle val="lineMarker"/>
        <c:varyColors val="0"/>
        <c:ser>
          <c:idx val="0"/>
          <c:order val="0"/>
          <c:tx>
            <c:v>单晶硅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Sheet1!$C$72:$T$72</c:f>
              <c:numCache>
                <c:formatCode>General</c:formatCode>
                <c:ptCount val="18"/>
                <c:pt idx="0">
                  <c:v>112.3</c:v>
                </c:pt>
                <c:pt idx="1">
                  <c:v>111.5</c:v>
                </c:pt>
                <c:pt idx="2">
                  <c:v>95</c:v>
                </c:pt>
                <c:pt idx="3">
                  <c:v>73.099999999999994</c:v>
                </c:pt>
                <c:pt idx="4">
                  <c:v>57.8</c:v>
                </c:pt>
                <c:pt idx="5">
                  <c:v>47.6</c:v>
                </c:pt>
                <c:pt idx="6">
                  <c:v>40.200000000000003</c:v>
                </c:pt>
                <c:pt idx="7">
                  <c:v>34.9</c:v>
                </c:pt>
                <c:pt idx="8">
                  <c:v>30.7</c:v>
                </c:pt>
                <c:pt idx="9">
                  <c:v>27.5</c:v>
                </c:pt>
                <c:pt idx="10">
                  <c:v>24.8</c:v>
                </c:pt>
                <c:pt idx="11">
                  <c:v>16.8</c:v>
                </c:pt>
                <c:pt idx="12">
                  <c:v>12.6</c:v>
                </c:pt>
                <c:pt idx="13">
                  <c:v>10.1</c:v>
                </c:pt>
                <c:pt idx="14">
                  <c:v>8.5</c:v>
                </c:pt>
                <c:pt idx="15">
                  <c:v>6.3</c:v>
                </c:pt>
                <c:pt idx="16">
                  <c:v>5.0999999999999996</c:v>
                </c:pt>
                <c:pt idx="17">
                  <c:v>4.3</c:v>
                </c:pt>
              </c:numCache>
            </c:numRef>
          </c:xVal>
          <c:yVal>
            <c:numRef>
              <c:f>Sheet1!$C$74:$T$74</c:f>
              <c:numCache>
                <c:formatCode>General</c:formatCode>
                <c:ptCount val="18"/>
                <c:pt idx="0">
                  <c:v>0</c:v>
                </c:pt>
                <c:pt idx="1">
                  <c:v>0.1243225</c:v>
                </c:pt>
                <c:pt idx="2">
                  <c:v>0.18049999999999999</c:v>
                </c:pt>
                <c:pt idx="3">
                  <c:v>0.16030829999999999</c:v>
                </c:pt>
                <c:pt idx="4">
                  <c:v>0.13363359999999996</c:v>
                </c:pt>
                <c:pt idx="5">
                  <c:v>0.11328800000000001</c:v>
                </c:pt>
                <c:pt idx="6">
                  <c:v>9.6962400000000018E-2</c:v>
                </c:pt>
                <c:pt idx="7">
                  <c:v>8.5260699999999995E-2</c:v>
                </c:pt>
                <c:pt idx="8">
                  <c:v>7.53992E-2</c:v>
                </c:pt>
                <c:pt idx="9">
                  <c:v>6.8062499999999998E-2</c:v>
                </c:pt>
                <c:pt idx="10">
                  <c:v>6.150400000000001E-2</c:v>
                </c:pt>
                <c:pt idx="11">
                  <c:v>4.2335999999999999E-2</c:v>
                </c:pt>
                <c:pt idx="12">
                  <c:v>3.1752000000000002E-2</c:v>
                </c:pt>
                <c:pt idx="13">
                  <c:v>2.5502499999999997E-2</c:v>
                </c:pt>
                <c:pt idx="14">
                  <c:v>2.1675E-2</c:v>
                </c:pt>
                <c:pt idx="15">
                  <c:v>1.5876000000000001E-2</c:v>
                </c:pt>
                <c:pt idx="16">
                  <c:v>1.3004999999999999E-2</c:v>
                </c:pt>
                <c:pt idx="17">
                  <c:v>1.1093999999999998E-2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C-4191-AD98-13D6981E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708607"/>
        <c:axId val="5967057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非晶硅</c:v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Sheet1!$C$78:$S$78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225</c:v>
                      </c:pt>
                      <c:pt idx="6">
                        <c:v>250</c:v>
                      </c:pt>
                      <c:pt idx="7">
                        <c:v>260</c:v>
                      </c:pt>
                      <c:pt idx="8">
                        <c:v>270</c:v>
                      </c:pt>
                      <c:pt idx="9">
                        <c:v>280</c:v>
                      </c:pt>
                      <c:pt idx="10">
                        <c:v>290</c:v>
                      </c:pt>
                      <c:pt idx="11">
                        <c:v>300</c:v>
                      </c:pt>
                      <c:pt idx="12">
                        <c:v>325</c:v>
                      </c:pt>
                      <c:pt idx="13">
                        <c:v>350</c:v>
                      </c:pt>
                      <c:pt idx="14">
                        <c:v>400</c:v>
                      </c:pt>
                      <c:pt idx="15">
                        <c:v>500</c:v>
                      </c:pt>
                      <c:pt idx="16">
                        <c:v>600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Sheet1!$C$80:$S$80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6.844499999999999E-3</c:v>
                      </c:pt>
                      <c:pt idx="2">
                        <c:v>1.2769000000000003E-2</c:v>
                      </c:pt>
                      <c:pt idx="3">
                        <c:v>1.7496000000000005E-2</c:v>
                      </c:pt>
                      <c:pt idx="4">
                        <c:v>2.0808E-2</c:v>
                      </c:pt>
                      <c:pt idx="5">
                        <c:v>2.1609000000000007E-2</c:v>
                      </c:pt>
                      <c:pt idx="6">
                        <c:v>2.1622500000000006E-2</c:v>
                      </c:pt>
                      <c:pt idx="7">
                        <c:v>2.15306E-2</c:v>
                      </c:pt>
                      <c:pt idx="8">
                        <c:v>2.1386700000000002E-2</c:v>
                      </c:pt>
                      <c:pt idx="9">
                        <c:v>2.0708799999999999E-2</c:v>
                      </c:pt>
                      <c:pt idx="10">
                        <c:v>2.0462400000000002E-2</c:v>
                      </c:pt>
                      <c:pt idx="11">
                        <c:v>2.0172000000000002E-2</c:v>
                      </c:pt>
                      <c:pt idx="12">
                        <c:v>1.9269250000000005E-2</c:v>
                      </c:pt>
                      <c:pt idx="13">
                        <c:v>1.8651499999999998E-2</c:v>
                      </c:pt>
                      <c:pt idx="14">
                        <c:v>1.6899999999999998E-2</c:v>
                      </c:pt>
                      <c:pt idx="15">
                        <c:v>1.4045E-2</c:v>
                      </c:pt>
                      <c:pt idx="16">
                        <c:v>1.1616000000000001E-2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12C-4191-AD98-13D6981ECB5D}"/>
                  </c:ext>
                </c:extLst>
              </c15:ser>
            </c15:filteredScatterSeries>
          </c:ext>
        </c:extLst>
      </c:scatterChart>
      <c:valAx>
        <c:axId val="59670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cap="none" baseline="0"/>
                  <a:t>R</a:t>
                </a:r>
                <a:endParaRPr lang="zh-CN" altLang="en-US" sz="1200" cap="none" baseline="0"/>
              </a:p>
            </c:rich>
          </c:tx>
          <c:layout>
            <c:manualLayout>
              <c:xMode val="edge"/>
              <c:yMode val="edge"/>
              <c:x val="0.91754292737969734"/>
              <c:y val="0.80688708685783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05727"/>
        <c:crosses val="autoZero"/>
        <c:crossBetween val="midCat"/>
      </c:valAx>
      <c:valAx>
        <c:axId val="5967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cap="none" baseline="0"/>
                  <a:t>I</a:t>
                </a:r>
                <a:r>
                  <a:rPr lang="en-US" altLang="zh-CN" sz="1200" cap="none" baseline="30000"/>
                  <a:t>2</a:t>
                </a:r>
                <a:r>
                  <a:rPr lang="en-US" altLang="zh-CN" sz="1200" cap="none" baseline="0"/>
                  <a:t>R</a:t>
                </a:r>
                <a:r>
                  <a:rPr lang="zh-CN" altLang="en-US" sz="1200" cap="none" baseline="0"/>
                  <a:t>（</a:t>
                </a:r>
                <a:r>
                  <a:rPr lang="en-US" altLang="zh-CN" sz="1200" cap="none" baseline="0"/>
                  <a:t>W</a:t>
                </a:r>
                <a:r>
                  <a:rPr lang="zh-CN" altLang="en-US" sz="1200" cap="none" baseline="0"/>
                  <a:t>）</a:t>
                </a:r>
              </a:p>
            </c:rich>
          </c:tx>
          <c:layout>
            <c:manualLayout>
              <c:xMode val="edge"/>
              <c:yMode val="edge"/>
              <c:x val="0.11106981218706954"/>
              <c:y val="3.02191478264416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0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单晶硅电池输出特性</a:t>
            </a:r>
          </a:p>
        </c:rich>
      </c:tx>
      <c:layout>
        <c:manualLayout>
          <c:xMode val="edge"/>
          <c:yMode val="edge"/>
          <c:x val="0.26833333333333331"/>
          <c:y val="0.861111111111111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59690599835172"/>
          <c:y val="0.13732660781841111"/>
          <c:w val="0.84193146726772661"/>
          <c:h val="0.62791816848871196"/>
        </c:manualLayout>
      </c:layout>
      <c:scatterChart>
        <c:scatterStyle val="lineMarker"/>
        <c:varyColors val="0"/>
        <c:ser>
          <c:idx val="2"/>
          <c:order val="0"/>
          <c:tx>
            <c:v>非晶硅</c:v>
          </c:tx>
          <c:spPr>
            <a:ln w="19050">
              <a:solidFill>
                <a:schemeClr val="accent1"/>
              </a:solidFill>
            </a:ln>
          </c:spPr>
          <c:xVal>
            <c:numRef>
              <c:f>Sheet1!$C$78:$S$78</c:f>
              <c:numCache>
                <c:formatCode>General</c:formatCode>
                <c:ptCount val="1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400</c:v>
                </c:pt>
                <c:pt idx="15">
                  <c:v>500</c:v>
                </c:pt>
                <c:pt idx="16">
                  <c:v>600</c:v>
                </c:pt>
              </c:numCache>
            </c:numRef>
          </c:xVal>
          <c:yVal>
            <c:numRef>
              <c:f>Sheet1!$C$80:$S$80</c:f>
              <c:numCache>
                <c:formatCode>General</c:formatCode>
                <c:ptCount val="17"/>
                <c:pt idx="0">
                  <c:v>0</c:v>
                </c:pt>
                <c:pt idx="1">
                  <c:v>6.844499999999999E-3</c:v>
                </c:pt>
                <c:pt idx="2">
                  <c:v>1.2769000000000003E-2</c:v>
                </c:pt>
                <c:pt idx="3">
                  <c:v>1.7496000000000005E-2</c:v>
                </c:pt>
                <c:pt idx="4">
                  <c:v>2.0808E-2</c:v>
                </c:pt>
                <c:pt idx="5">
                  <c:v>2.1609000000000007E-2</c:v>
                </c:pt>
                <c:pt idx="6">
                  <c:v>2.1622500000000006E-2</c:v>
                </c:pt>
                <c:pt idx="7">
                  <c:v>2.15306E-2</c:v>
                </c:pt>
                <c:pt idx="8">
                  <c:v>2.1386700000000002E-2</c:v>
                </c:pt>
                <c:pt idx="9">
                  <c:v>2.0708799999999999E-2</c:v>
                </c:pt>
                <c:pt idx="10">
                  <c:v>2.0462400000000002E-2</c:v>
                </c:pt>
                <c:pt idx="11">
                  <c:v>2.0172000000000002E-2</c:v>
                </c:pt>
                <c:pt idx="12">
                  <c:v>1.9269250000000005E-2</c:v>
                </c:pt>
                <c:pt idx="13">
                  <c:v>1.8651499999999998E-2</c:v>
                </c:pt>
                <c:pt idx="14">
                  <c:v>1.6899999999999998E-2</c:v>
                </c:pt>
                <c:pt idx="15">
                  <c:v>1.4045E-2</c:v>
                </c:pt>
                <c:pt idx="16">
                  <c:v>1.1616000000000001E-2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F3-494A-8DDC-4D1275E5D0CC}"/>
            </c:ext>
          </c:extLst>
        </c:ser>
        <c:ser>
          <c:idx val="1"/>
          <c:order val="1"/>
          <c:tx>
            <c:v>非晶硅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Sheet1!$C$78:$S$78</c:f>
              <c:numCache>
                <c:formatCode>General</c:formatCode>
                <c:ptCount val="1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400</c:v>
                </c:pt>
                <c:pt idx="15">
                  <c:v>500</c:v>
                </c:pt>
                <c:pt idx="16">
                  <c:v>600</c:v>
                </c:pt>
              </c:numCache>
              <c:extLst xmlns:c15="http://schemas.microsoft.com/office/drawing/2012/chart"/>
            </c:numRef>
          </c:xVal>
          <c:yVal>
            <c:numRef>
              <c:f>Sheet1!$C$80:$S$80</c:f>
              <c:numCache>
                <c:formatCode>General</c:formatCode>
                <c:ptCount val="17"/>
                <c:pt idx="0">
                  <c:v>0</c:v>
                </c:pt>
                <c:pt idx="1">
                  <c:v>6.844499999999999E-3</c:v>
                </c:pt>
                <c:pt idx="2">
                  <c:v>1.2769000000000003E-2</c:v>
                </c:pt>
                <c:pt idx="3">
                  <c:v>1.7496000000000005E-2</c:v>
                </c:pt>
                <c:pt idx="4">
                  <c:v>2.0808E-2</c:v>
                </c:pt>
                <c:pt idx="5">
                  <c:v>2.1609000000000007E-2</c:v>
                </c:pt>
                <c:pt idx="6">
                  <c:v>2.1622500000000006E-2</c:v>
                </c:pt>
                <c:pt idx="7">
                  <c:v>2.15306E-2</c:v>
                </c:pt>
                <c:pt idx="8">
                  <c:v>2.1386700000000002E-2</c:v>
                </c:pt>
                <c:pt idx="9">
                  <c:v>2.0708799999999999E-2</c:v>
                </c:pt>
                <c:pt idx="10">
                  <c:v>2.0462400000000002E-2</c:v>
                </c:pt>
                <c:pt idx="11">
                  <c:v>2.0172000000000002E-2</c:v>
                </c:pt>
                <c:pt idx="12">
                  <c:v>1.9269250000000005E-2</c:v>
                </c:pt>
                <c:pt idx="13">
                  <c:v>1.8651499999999998E-2</c:v>
                </c:pt>
                <c:pt idx="14">
                  <c:v>1.6899999999999998E-2</c:v>
                </c:pt>
                <c:pt idx="15">
                  <c:v>1.4045E-2</c:v>
                </c:pt>
                <c:pt idx="16">
                  <c:v>1.1616000000000001E-2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4-1EF3-494A-8DDC-4D1275E5D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708607"/>
        <c:axId val="596705727"/>
        <c:extLst/>
      </c:scatterChart>
      <c:valAx>
        <c:axId val="59670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cap="none" baseline="0"/>
                  <a:t>I</a:t>
                </a:r>
                <a:r>
                  <a:rPr lang="en-US" altLang="zh-CN" sz="1200" cap="none" baseline="30000"/>
                  <a:t>2</a:t>
                </a:r>
                <a:r>
                  <a:rPr lang="en-US" altLang="zh-CN" sz="1200" cap="none" baseline="0"/>
                  <a:t>R</a:t>
                </a:r>
                <a:r>
                  <a:rPr lang="zh-CN" altLang="en-US" sz="1200" cap="none" baseline="0"/>
                  <a:t>（</a:t>
                </a:r>
                <a:r>
                  <a:rPr lang="en-US" altLang="zh-CN" sz="1200" cap="none" baseline="0"/>
                  <a:t>W</a:t>
                </a:r>
                <a:r>
                  <a:rPr lang="zh-CN" altLang="en-US" sz="1200" cap="none" baseline="0"/>
                  <a:t>）</a:t>
                </a:r>
                <a:endParaRPr lang="zh-CN" sz="1200" cap="none" baseline="0"/>
              </a:p>
            </c:rich>
          </c:tx>
          <c:layout>
            <c:manualLayout>
              <c:xMode val="edge"/>
              <c:yMode val="edge"/>
              <c:x val="0.13985860531620181"/>
              <c:y val="5.952610274283178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05727"/>
        <c:crosses val="autoZero"/>
        <c:crossBetween val="midCat"/>
      </c:valAx>
      <c:valAx>
        <c:axId val="5967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aseline="0"/>
                  <a:t>R</a:t>
                </a:r>
                <a:endParaRPr lang="zh-CN" altLang="en-US" sz="1200" baseline="0"/>
              </a:p>
            </c:rich>
          </c:tx>
          <c:layout>
            <c:manualLayout>
              <c:xMode val="edge"/>
              <c:yMode val="edge"/>
              <c:x val="0.95334174022698615"/>
              <c:y val="0.8313087282752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6708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829468</xdr:colOff>
      <xdr:row>22</xdr:row>
      <xdr:rowOff>104775</xdr:rowOff>
    </xdr:from>
    <xdr:to>
      <xdr:col>8</xdr:col>
      <xdr:colOff>329406</xdr:colOff>
      <xdr:row>38</xdr:row>
      <xdr:rowOff>31751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B1381F-BD3F-1F32-824D-FA0334A0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159847</xdr:colOff>
      <xdr:row>52</xdr:row>
      <xdr:rowOff>152400</xdr:rowOff>
    </xdr:from>
    <xdr:to>
      <xdr:col>4</xdr:col>
      <xdr:colOff>781709</xdr:colOff>
      <xdr:row>68</xdr:row>
      <xdr:rowOff>22773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7F9F111-0AB1-F68E-A6B2-E8E9D7F34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136096</xdr:colOff>
      <xdr:row>52</xdr:row>
      <xdr:rowOff>56224</xdr:rowOff>
    </xdr:from>
    <xdr:to>
      <xdr:col>12</xdr:col>
      <xdr:colOff>79165</xdr:colOff>
      <xdr:row>67</xdr:row>
      <xdr:rowOff>106148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850B6E6-E1CA-4111-C634-B35E3CBE4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86945</xdr:colOff>
      <xdr:row>84</xdr:row>
      <xdr:rowOff>25400</xdr:rowOff>
    </xdr:from>
    <xdr:to>
      <xdr:col>7</xdr:col>
      <xdr:colOff>647700</xdr:colOff>
      <xdr:row>103</xdr:row>
      <xdr:rowOff>79130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CAFE42A-91F6-06AD-17A2-175E70CB9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430335</xdr:colOff>
      <xdr:row>85</xdr:row>
      <xdr:rowOff>171450</xdr:rowOff>
    </xdr:from>
    <xdr:to>
      <xdr:col>16</xdr:col>
      <xdr:colOff>182685</xdr:colOff>
      <xdr:row>102</xdr:row>
      <xdr:rowOff>170180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4BC055B-61DB-702C-10DB-6B539972B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14E6-944E-4189-A6FB-066C4E3CBCEB}">
  <dimension ref="A1:U80"/>
  <sheetViews>
    <sheetView tabSelected="1" topLeftCell="G74" zoomScale="130" zoomScaleNormal="130" workbookViewId="0">
      <selection activeCell="U83" sqref="U83"/>
    </sheetView>
  </sheetViews>
  <sheetFormatPr defaultRowHeight="14" x14ac:dyDescent="0.3"/>
  <cols>
    <col min="1" max="1" width="15.58203125" customWidth="1"/>
    <col min="2" max="2" width="15.75" customWidth="1"/>
    <col min="5" max="5" width="11.25" customWidth="1"/>
  </cols>
  <sheetData>
    <row r="1" spans="1:5" x14ac:dyDescent="0.3">
      <c r="A1" s="7" t="s">
        <v>2</v>
      </c>
      <c r="B1" s="7"/>
      <c r="C1" s="7"/>
      <c r="D1" s="7"/>
    </row>
    <row r="2" spans="1:5" x14ac:dyDescent="0.3">
      <c r="A2" s="2"/>
      <c r="B2" s="2"/>
      <c r="C2" s="2"/>
      <c r="D2" s="2"/>
    </row>
    <row r="3" spans="1:5" x14ac:dyDescent="0.3">
      <c r="A3" s="2" t="s">
        <v>0</v>
      </c>
      <c r="B3" s="3" t="s">
        <v>1</v>
      </c>
      <c r="C3" s="2"/>
      <c r="D3" s="2" t="s">
        <v>0</v>
      </c>
      <c r="E3" s="2" t="s">
        <v>1</v>
      </c>
    </row>
    <row r="4" spans="1:5" x14ac:dyDescent="0.3">
      <c r="A4" s="2">
        <v>-2</v>
      </c>
      <c r="B4" s="1">
        <v>-0.03</v>
      </c>
      <c r="C4" s="2"/>
      <c r="D4" s="2">
        <v>-8</v>
      </c>
      <c r="E4" s="4">
        <v>-1.5920000000000001</v>
      </c>
    </row>
    <row r="5" spans="1:5" x14ac:dyDescent="0.3">
      <c r="A5" s="2">
        <v>-4</v>
      </c>
      <c r="B5" s="1">
        <v>-5.8000000000000003E-2</v>
      </c>
      <c r="C5" s="2"/>
      <c r="D5" s="2">
        <v>-6</v>
      </c>
      <c r="E5" s="4">
        <v>-0.995</v>
      </c>
    </row>
    <row r="6" spans="1:5" x14ac:dyDescent="0.3">
      <c r="A6" s="2">
        <v>-6</v>
      </c>
      <c r="B6" s="1">
        <v>-8.6999999999999994E-2</v>
      </c>
      <c r="C6" s="2"/>
      <c r="D6" s="2">
        <v>-4</v>
      </c>
      <c r="E6" s="5">
        <v>-0.54200000000000004</v>
      </c>
    </row>
    <row r="7" spans="1:5" x14ac:dyDescent="0.3">
      <c r="A7" s="2">
        <v>-8</v>
      </c>
      <c r="B7" s="1">
        <v>-0.12</v>
      </c>
      <c r="C7" s="2"/>
      <c r="D7" s="2">
        <v>-2</v>
      </c>
      <c r="E7" s="5">
        <v>-0.20899999999999999</v>
      </c>
    </row>
    <row r="8" spans="1:5" x14ac:dyDescent="0.3">
      <c r="A8" s="2">
        <v>0</v>
      </c>
      <c r="B8" s="3">
        <v>0</v>
      </c>
      <c r="C8" s="2"/>
      <c r="D8" s="2">
        <v>0</v>
      </c>
      <c r="E8" s="2">
        <v>0</v>
      </c>
    </row>
    <row r="9" spans="1:5" x14ac:dyDescent="0.3">
      <c r="A9" s="2">
        <v>1.53</v>
      </c>
      <c r="B9" s="3">
        <v>0.5</v>
      </c>
      <c r="C9" s="2"/>
      <c r="D9" s="2">
        <v>2.66</v>
      </c>
      <c r="E9" s="2">
        <v>0.5</v>
      </c>
    </row>
    <row r="10" spans="1:5" x14ac:dyDescent="0.3">
      <c r="A10" s="2">
        <v>1.73</v>
      </c>
      <c r="B10" s="3">
        <v>1</v>
      </c>
      <c r="C10" s="2"/>
      <c r="D10" s="2">
        <v>2.86</v>
      </c>
      <c r="E10" s="2">
        <v>1</v>
      </c>
    </row>
    <row r="11" spans="1:5" x14ac:dyDescent="0.3">
      <c r="A11" s="2">
        <v>2.16</v>
      </c>
      <c r="B11" s="3">
        <v>4</v>
      </c>
      <c r="C11" s="2"/>
      <c r="D11" s="2">
        <v>3.19</v>
      </c>
      <c r="E11" s="2">
        <v>4</v>
      </c>
    </row>
    <row r="12" spans="1:5" x14ac:dyDescent="0.3">
      <c r="A12" s="2">
        <v>2.34</v>
      </c>
      <c r="B12" s="3">
        <v>7</v>
      </c>
      <c r="C12" s="2"/>
      <c r="D12" s="2">
        <v>3.32</v>
      </c>
      <c r="E12" s="2">
        <v>7</v>
      </c>
    </row>
    <row r="13" spans="1:5" x14ac:dyDescent="0.3">
      <c r="A13" s="2">
        <v>2.46</v>
      </c>
      <c r="B13" s="3">
        <v>10</v>
      </c>
      <c r="C13" s="2"/>
      <c r="D13" s="2">
        <v>3.41</v>
      </c>
      <c r="E13" s="2">
        <v>10</v>
      </c>
    </row>
    <row r="14" spans="1:5" x14ac:dyDescent="0.3">
      <c r="A14" s="2">
        <v>2.67</v>
      </c>
      <c r="B14" s="3">
        <v>20</v>
      </c>
      <c r="C14" s="2"/>
      <c r="D14" s="2">
        <v>3.62</v>
      </c>
      <c r="E14" s="2">
        <v>20</v>
      </c>
    </row>
    <row r="15" spans="1:5" x14ac:dyDescent="0.3">
      <c r="A15" s="2">
        <v>2.79</v>
      </c>
      <c r="B15" s="3">
        <v>30</v>
      </c>
      <c r="C15" s="2"/>
      <c r="D15" s="2">
        <v>3.76</v>
      </c>
      <c r="E15" s="2">
        <v>30</v>
      </c>
    </row>
    <row r="16" spans="1:5" x14ac:dyDescent="0.3">
      <c r="A16" s="2">
        <v>2.87</v>
      </c>
      <c r="B16" s="3">
        <v>40</v>
      </c>
      <c r="C16" s="2"/>
      <c r="D16" s="2">
        <v>3.87</v>
      </c>
      <c r="E16" s="2">
        <v>40</v>
      </c>
    </row>
    <row r="17" spans="1:5" x14ac:dyDescent="0.3">
      <c r="A17" s="2">
        <v>2.92</v>
      </c>
      <c r="B17" s="3">
        <v>50</v>
      </c>
      <c r="C17" s="2"/>
      <c r="D17" s="2">
        <v>3.97</v>
      </c>
      <c r="E17" s="2">
        <v>50</v>
      </c>
    </row>
    <row r="18" spans="1:5" x14ac:dyDescent="0.3">
      <c r="A18" s="2">
        <v>2.97</v>
      </c>
      <c r="B18" s="3">
        <v>60</v>
      </c>
      <c r="C18" s="2"/>
      <c r="D18" s="2">
        <v>4.0599999999999996</v>
      </c>
      <c r="E18" s="2">
        <v>60</v>
      </c>
    </row>
    <row r="19" spans="1:5" x14ac:dyDescent="0.3">
      <c r="A19" s="2">
        <v>3</v>
      </c>
      <c r="B19" s="3">
        <v>70</v>
      </c>
      <c r="C19" s="2"/>
      <c r="D19" s="2">
        <v>4.1500000000000004</v>
      </c>
      <c r="E19" s="2">
        <v>70</v>
      </c>
    </row>
    <row r="20" spans="1:5" x14ac:dyDescent="0.3">
      <c r="A20" s="2">
        <v>3.03</v>
      </c>
      <c r="B20" s="3">
        <v>80</v>
      </c>
      <c r="C20" s="2"/>
      <c r="D20" s="2">
        <v>4.22</v>
      </c>
      <c r="E20" s="2">
        <v>80</v>
      </c>
    </row>
    <row r="21" spans="1:5" x14ac:dyDescent="0.3">
      <c r="A21" s="2">
        <v>3.06</v>
      </c>
      <c r="B21" s="3">
        <v>90</v>
      </c>
      <c r="C21" s="2"/>
      <c r="D21" s="2"/>
    </row>
    <row r="22" spans="1:5" x14ac:dyDescent="0.3">
      <c r="A22" s="2">
        <v>3.08</v>
      </c>
      <c r="B22" s="3">
        <v>100</v>
      </c>
      <c r="C22" s="2"/>
      <c r="D22" s="2"/>
    </row>
    <row r="23" spans="1:5" x14ac:dyDescent="0.3">
      <c r="A23" s="2"/>
      <c r="B23" s="3"/>
      <c r="C23" s="2"/>
      <c r="D23" s="2"/>
    </row>
    <row r="24" spans="1:5" x14ac:dyDescent="0.3">
      <c r="A24" s="1"/>
      <c r="B24" s="3"/>
      <c r="C24" s="1"/>
      <c r="D24" s="1"/>
    </row>
    <row r="25" spans="1:5" x14ac:dyDescent="0.3">
      <c r="A25" s="1"/>
      <c r="B25" s="1"/>
      <c r="C25" s="1"/>
      <c r="D25" s="1"/>
    </row>
    <row r="26" spans="1:5" x14ac:dyDescent="0.3">
      <c r="A26" s="1"/>
      <c r="B26" s="1"/>
      <c r="C26" s="1"/>
      <c r="D26" s="1"/>
    </row>
    <row r="27" spans="1:5" x14ac:dyDescent="0.3">
      <c r="A27" s="1"/>
      <c r="B27" s="1"/>
      <c r="C27" s="1"/>
      <c r="D27" s="1"/>
    </row>
    <row r="28" spans="1:5" x14ac:dyDescent="0.3">
      <c r="A28" s="1"/>
      <c r="B28" s="1"/>
      <c r="C28" s="1"/>
      <c r="D28" s="1"/>
    </row>
    <row r="29" spans="1:5" x14ac:dyDescent="0.3">
      <c r="A29" s="1"/>
      <c r="B29" s="1"/>
      <c r="C29" s="1"/>
      <c r="D29" s="1"/>
    </row>
    <row r="30" spans="1:5" x14ac:dyDescent="0.3">
      <c r="A30" s="1"/>
      <c r="B30" s="1"/>
      <c r="C30" s="1"/>
      <c r="D30" s="1"/>
    </row>
    <row r="31" spans="1:5" x14ac:dyDescent="0.3">
      <c r="A31" s="1"/>
      <c r="B31" s="1"/>
      <c r="C31" s="1"/>
      <c r="D31" s="1"/>
    </row>
    <row r="41" spans="1:10" x14ac:dyDescent="0.3">
      <c r="A41" s="6" t="s">
        <v>3</v>
      </c>
      <c r="B41" s="6"/>
      <c r="C41" s="6"/>
      <c r="D41" s="6"/>
    </row>
    <row r="43" spans="1:10" x14ac:dyDescent="0.3">
      <c r="B43" t="s">
        <v>6</v>
      </c>
      <c r="C43" s="1">
        <v>844</v>
      </c>
      <c r="D43" s="1">
        <v>466</v>
      </c>
      <c r="E43" s="1">
        <v>293</v>
      </c>
      <c r="F43" s="1">
        <v>203</v>
      </c>
      <c r="G43" s="1">
        <v>152</v>
      </c>
      <c r="H43" s="1">
        <v>120</v>
      </c>
      <c r="I43" s="1">
        <v>98</v>
      </c>
      <c r="J43" s="1">
        <v>80</v>
      </c>
    </row>
    <row r="44" spans="1:10" x14ac:dyDescent="0.3">
      <c r="B44" t="s">
        <v>7</v>
      </c>
      <c r="C44">
        <f>LN(C43)</f>
        <v>6.7381524945959574</v>
      </c>
      <c r="D44">
        <f t="shared" ref="D44:J44" si="0">LN(D43)</f>
        <v>6.1441856341256456</v>
      </c>
      <c r="E44">
        <f t="shared" si="0"/>
        <v>5.6801726090170677</v>
      </c>
      <c r="F44">
        <f t="shared" si="0"/>
        <v>5.3132059790417872</v>
      </c>
      <c r="G44">
        <f t="shared" si="0"/>
        <v>5.0238805208462765</v>
      </c>
      <c r="H44">
        <f t="shared" si="0"/>
        <v>4.7874917427820458</v>
      </c>
      <c r="I44">
        <f t="shared" si="0"/>
        <v>4.5849674786705723</v>
      </c>
      <c r="J44">
        <f t="shared" si="0"/>
        <v>4.3820266346738812</v>
      </c>
    </row>
    <row r="45" spans="1:10" x14ac:dyDescent="0.3">
      <c r="A45" s="6" t="s">
        <v>8</v>
      </c>
      <c r="B45" t="s">
        <v>4</v>
      </c>
      <c r="C45" s="1">
        <v>3.01</v>
      </c>
      <c r="D45" s="1">
        <v>2.87</v>
      </c>
      <c r="E45" s="1">
        <v>2.76</v>
      </c>
      <c r="F45" s="1">
        <v>2.66</v>
      </c>
      <c r="G45" s="1">
        <v>2.57</v>
      </c>
      <c r="H45" s="1">
        <v>2.5</v>
      </c>
      <c r="I45" s="1">
        <v>2.4300000000000002</v>
      </c>
      <c r="J45" s="1">
        <v>2.37</v>
      </c>
    </row>
    <row r="46" spans="1:10" x14ac:dyDescent="0.3">
      <c r="A46" s="6"/>
      <c r="B46" t="s">
        <v>5</v>
      </c>
      <c r="C46" s="1">
        <v>104.9</v>
      </c>
      <c r="D46" s="1">
        <v>59.5</v>
      </c>
      <c r="E46" s="1">
        <v>37.200000000000003</v>
      </c>
      <c r="F46" s="1">
        <v>25.7</v>
      </c>
      <c r="G46" s="1">
        <v>19</v>
      </c>
      <c r="H46" s="1">
        <v>15</v>
      </c>
      <c r="I46" s="1">
        <v>12.1</v>
      </c>
      <c r="J46" s="1">
        <v>10</v>
      </c>
    </row>
    <row r="47" spans="1:10" x14ac:dyDescent="0.3"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6" t="s">
        <v>9</v>
      </c>
      <c r="B48" t="s">
        <v>4</v>
      </c>
      <c r="C48" s="1">
        <v>3.12</v>
      </c>
      <c r="D48" s="1">
        <v>3.02</v>
      </c>
      <c r="E48" s="1">
        <v>2.94</v>
      </c>
      <c r="F48" s="1">
        <v>2.88</v>
      </c>
      <c r="G48" s="1">
        <v>2.83</v>
      </c>
      <c r="H48" s="1">
        <v>2.78</v>
      </c>
      <c r="I48" s="1">
        <v>2.75</v>
      </c>
      <c r="J48" s="1">
        <v>2.71</v>
      </c>
    </row>
    <row r="49" spans="1:10" x14ac:dyDescent="0.3">
      <c r="A49" s="6"/>
      <c r="B49" t="s">
        <v>5</v>
      </c>
      <c r="C49" s="1">
        <v>11.4</v>
      </c>
      <c r="D49" s="1">
        <v>6.4</v>
      </c>
      <c r="E49" s="1">
        <v>4.0999999999999996</v>
      </c>
      <c r="F49" s="1">
        <v>2.9</v>
      </c>
      <c r="G49" s="1">
        <v>2.2000000000000002</v>
      </c>
      <c r="H49" s="1">
        <v>1.7</v>
      </c>
      <c r="I49" s="1">
        <v>1.4</v>
      </c>
      <c r="J49" s="1">
        <v>1.2</v>
      </c>
    </row>
    <row r="71" spans="1:21" x14ac:dyDescent="0.3">
      <c r="A71" s="6" t="s">
        <v>8</v>
      </c>
      <c r="B71" s="1" t="s">
        <v>10</v>
      </c>
      <c r="C71" s="1">
        <v>0</v>
      </c>
      <c r="D71" s="1">
        <v>10</v>
      </c>
      <c r="E71" s="1">
        <v>20</v>
      </c>
      <c r="F71" s="1">
        <v>30</v>
      </c>
      <c r="G71" s="1">
        <v>40</v>
      </c>
      <c r="H71" s="1">
        <v>50</v>
      </c>
      <c r="I71" s="1">
        <v>60</v>
      </c>
      <c r="J71" s="1">
        <v>70</v>
      </c>
      <c r="K71" s="1">
        <v>80</v>
      </c>
      <c r="L71" s="1">
        <v>90</v>
      </c>
      <c r="M71" s="1">
        <v>100</v>
      </c>
      <c r="N71" s="1">
        <v>150</v>
      </c>
      <c r="O71" s="1">
        <v>200</v>
      </c>
      <c r="P71" s="1">
        <v>250</v>
      </c>
      <c r="Q71" s="1">
        <v>300</v>
      </c>
      <c r="R71" s="1">
        <v>400</v>
      </c>
      <c r="S71" s="1">
        <v>500</v>
      </c>
      <c r="T71" s="1">
        <v>600</v>
      </c>
      <c r="U71" s="1"/>
    </row>
    <row r="72" spans="1:21" x14ac:dyDescent="0.3">
      <c r="A72" s="6"/>
      <c r="B72" s="1" t="s">
        <v>11</v>
      </c>
      <c r="C72" s="1">
        <v>112.3</v>
      </c>
      <c r="D72" s="1">
        <v>111.5</v>
      </c>
      <c r="E72" s="1">
        <v>95</v>
      </c>
      <c r="F72" s="1">
        <v>73.099999999999994</v>
      </c>
      <c r="G72" s="1">
        <v>57.8</v>
      </c>
      <c r="H72" s="1">
        <v>47.6</v>
      </c>
      <c r="I72" s="1">
        <v>40.200000000000003</v>
      </c>
      <c r="J72" s="1">
        <v>34.9</v>
      </c>
      <c r="K72" s="1">
        <v>30.7</v>
      </c>
      <c r="L72" s="1">
        <v>27.5</v>
      </c>
      <c r="M72" s="1">
        <v>24.8</v>
      </c>
      <c r="N72" s="1">
        <v>16.8</v>
      </c>
      <c r="O72" s="1">
        <v>12.6</v>
      </c>
      <c r="P72" s="1">
        <v>10.1</v>
      </c>
      <c r="Q72" s="1">
        <v>8.5</v>
      </c>
      <c r="R72" s="1">
        <v>6.3</v>
      </c>
      <c r="S72" s="1">
        <v>5.0999999999999996</v>
      </c>
      <c r="T72" s="1">
        <v>4.3</v>
      </c>
      <c r="U72" s="1"/>
    </row>
    <row r="73" spans="1:21" x14ac:dyDescent="0.3">
      <c r="A73" s="1"/>
      <c r="U73" s="1"/>
    </row>
    <row r="74" spans="1:21" x14ac:dyDescent="0.3">
      <c r="B74" s="1" t="s">
        <v>12</v>
      </c>
      <c r="C74" s="1">
        <f>C72*C72*C71*0.001*0.001</f>
        <v>0</v>
      </c>
      <c r="D74" s="1">
        <f t="shared" ref="D74:T74" si="1">D72*D72*D71*0.001*0.001</f>
        <v>0.1243225</v>
      </c>
      <c r="E74" s="1">
        <f t="shared" si="1"/>
        <v>0.18049999999999999</v>
      </c>
      <c r="F74" s="1">
        <f t="shared" si="1"/>
        <v>0.16030829999999999</v>
      </c>
      <c r="G74" s="1">
        <f t="shared" si="1"/>
        <v>0.13363359999999996</v>
      </c>
      <c r="H74" s="1">
        <f t="shared" si="1"/>
        <v>0.11328800000000001</v>
      </c>
      <c r="I74" s="1">
        <f t="shared" si="1"/>
        <v>9.6962400000000018E-2</v>
      </c>
      <c r="J74" s="1">
        <f t="shared" si="1"/>
        <v>8.5260699999999995E-2</v>
      </c>
      <c r="K74" s="1">
        <f t="shared" si="1"/>
        <v>7.53992E-2</v>
      </c>
      <c r="L74" s="1">
        <f t="shared" si="1"/>
        <v>6.8062499999999998E-2</v>
      </c>
      <c r="M74" s="1">
        <f t="shared" si="1"/>
        <v>6.150400000000001E-2</v>
      </c>
      <c r="N74" s="1">
        <f t="shared" si="1"/>
        <v>4.2335999999999999E-2</v>
      </c>
      <c r="O74" s="1">
        <f t="shared" si="1"/>
        <v>3.1752000000000002E-2</v>
      </c>
      <c r="P74" s="1">
        <f t="shared" si="1"/>
        <v>2.5502499999999997E-2</v>
      </c>
      <c r="Q74" s="1">
        <f t="shared" si="1"/>
        <v>2.1675E-2</v>
      </c>
      <c r="R74" s="1">
        <f t="shared" si="1"/>
        <v>1.5876000000000001E-2</v>
      </c>
      <c r="S74" s="1">
        <f t="shared" si="1"/>
        <v>1.3004999999999999E-2</v>
      </c>
      <c r="T74" s="1">
        <f t="shared" si="1"/>
        <v>1.1093999999999998E-2</v>
      </c>
      <c r="U74" s="1"/>
    </row>
    <row r="75" spans="1:21" x14ac:dyDescent="0.3">
      <c r="U75" s="1"/>
    </row>
    <row r="76" spans="1:2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8" spans="1:21" x14ac:dyDescent="0.3">
      <c r="A78" s="6" t="s">
        <v>9</v>
      </c>
      <c r="B78" s="1" t="s">
        <v>10</v>
      </c>
      <c r="C78" s="1">
        <v>0</v>
      </c>
      <c r="D78" s="1">
        <v>50</v>
      </c>
      <c r="E78" s="1">
        <v>100</v>
      </c>
      <c r="F78" s="1">
        <v>150</v>
      </c>
      <c r="G78" s="1">
        <v>200</v>
      </c>
      <c r="H78" s="1">
        <v>225</v>
      </c>
      <c r="I78" s="1">
        <v>250</v>
      </c>
      <c r="J78" s="1">
        <v>260</v>
      </c>
      <c r="K78" s="1">
        <v>270</v>
      </c>
      <c r="L78" s="1">
        <v>280</v>
      </c>
      <c r="M78" s="1">
        <v>290</v>
      </c>
      <c r="N78" s="1">
        <v>300</v>
      </c>
      <c r="O78" s="1">
        <v>325</v>
      </c>
      <c r="P78" s="1">
        <v>350</v>
      </c>
      <c r="Q78" s="1">
        <v>400</v>
      </c>
      <c r="R78" s="1">
        <v>500</v>
      </c>
      <c r="S78" s="1">
        <v>600</v>
      </c>
      <c r="T78" s="1">
        <v>700</v>
      </c>
    </row>
    <row r="79" spans="1:21" x14ac:dyDescent="0.3">
      <c r="A79" s="6"/>
      <c r="B79" s="1" t="s">
        <v>11</v>
      </c>
      <c r="C79" s="1">
        <v>12</v>
      </c>
      <c r="D79" s="1">
        <v>11.7</v>
      </c>
      <c r="E79" s="1">
        <v>11.3</v>
      </c>
      <c r="F79" s="1">
        <v>10.8</v>
      </c>
      <c r="G79" s="1">
        <v>10.199999999999999</v>
      </c>
      <c r="H79" s="1">
        <v>9.8000000000000007</v>
      </c>
      <c r="I79" s="1">
        <v>9.3000000000000007</v>
      </c>
      <c r="J79" s="1">
        <v>9.1</v>
      </c>
      <c r="K79" s="1">
        <v>8.9</v>
      </c>
      <c r="L79" s="1">
        <v>8.6</v>
      </c>
      <c r="M79" s="1">
        <v>8.4</v>
      </c>
      <c r="N79" s="1">
        <v>8.1999999999999993</v>
      </c>
      <c r="O79" s="1">
        <v>7.7</v>
      </c>
      <c r="P79" s="1">
        <v>7.3</v>
      </c>
      <c r="Q79" s="1">
        <v>6.5</v>
      </c>
      <c r="R79" s="1">
        <v>5.3</v>
      </c>
      <c r="S79" s="1">
        <v>4.4000000000000004</v>
      </c>
      <c r="T79" s="1">
        <v>3.8</v>
      </c>
    </row>
    <row r="80" spans="1:21" x14ac:dyDescent="0.3">
      <c r="B80" t="s">
        <v>13</v>
      </c>
      <c r="C80">
        <f>C79*C79*C78*0.001*0.001</f>
        <v>0</v>
      </c>
      <c r="D80">
        <f t="shared" ref="D80:T80" si="2">D79*D79*D78*0.001*0.001</f>
        <v>6.844499999999999E-3</v>
      </c>
      <c r="E80">
        <f t="shared" si="2"/>
        <v>1.2769000000000003E-2</v>
      </c>
      <c r="F80">
        <f t="shared" si="2"/>
        <v>1.7496000000000005E-2</v>
      </c>
      <c r="G80">
        <f t="shared" si="2"/>
        <v>2.0808E-2</v>
      </c>
      <c r="H80">
        <f t="shared" si="2"/>
        <v>2.1609000000000007E-2</v>
      </c>
      <c r="I80">
        <f t="shared" si="2"/>
        <v>2.1622500000000006E-2</v>
      </c>
      <c r="J80">
        <f t="shared" si="2"/>
        <v>2.15306E-2</v>
      </c>
      <c r="K80">
        <f t="shared" si="2"/>
        <v>2.1386700000000002E-2</v>
      </c>
      <c r="L80">
        <f t="shared" si="2"/>
        <v>2.0708799999999999E-2</v>
      </c>
      <c r="M80">
        <f t="shared" si="2"/>
        <v>2.0462400000000002E-2</v>
      </c>
      <c r="N80">
        <f t="shared" si="2"/>
        <v>2.0172000000000002E-2</v>
      </c>
      <c r="O80">
        <f t="shared" si="2"/>
        <v>1.9269250000000005E-2</v>
      </c>
      <c r="P80">
        <f t="shared" si="2"/>
        <v>1.8651499999999998E-2</v>
      </c>
      <c r="Q80">
        <f t="shared" si="2"/>
        <v>1.6899999999999998E-2</v>
      </c>
      <c r="R80">
        <f t="shared" si="2"/>
        <v>1.4045E-2</v>
      </c>
      <c r="S80">
        <f t="shared" si="2"/>
        <v>1.1616000000000001E-2</v>
      </c>
      <c r="T80">
        <f t="shared" si="2"/>
        <v>1.0108000000000001E-2</v>
      </c>
    </row>
  </sheetData>
  <mergeCells count="6">
    <mergeCell ref="A78:A79"/>
    <mergeCell ref="A1:D1"/>
    <mergeCell ref="A41:D41"/>
    <mergeCell ref="A45:A46"/>
    <mergeCell ref="A48:A49"/>
    <mergeCell ref="A71:A7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承沄 阮</dc:creator>
  <cp:lastModifiedBy>承沄 阮</cp:lastModifiedBy>
  <dcterms:created xsi:type="dcterms:W3CDTF">2025-03-13T13:00:39Z</dcterms:created>
  <dcterms:modified xsi:type="dcterms:W3CDTF">2025-03-19T15:47:54Z</dcterms:modified>
</cp:coreProperties>
</file>